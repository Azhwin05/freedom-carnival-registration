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<sst xmlns="http://schemas.openxmlformats.org/spreadsheetml/2006/main" count="548" uniqueCount="385">
  <si>
    <t>Sl.No</t>
  </si>
  <si>
    <t>Name of the Institution/NGO/Trust/Person</t>
  </si>
  <si>
    <t>Street Address</t>
  </si>
  <si>
    <t>Street Address Line 2</t>
  </si>
  <si>
    <t>City</t>
  </si>
  <si>
    <t>State / Province</t>
  </si>
  <si>
    <t>Postal / Zip Code</t>
  </si>
  <si>
    <t>Contact Person</t>
  </si>
  <si>
    <t>Contact Number</t>
  </si>
  <si>
    <t>Alternate Contact Number</t>
  </si>
  <si>
    <t>Whats app Number</t>
  </si>
  <si>
    <t>Email</t>
  </si>
  <si>
    <t>Landline Number</t>
  </si>
  <si>
    <t>Number  of special Children</t>
  </si>
  <si>
    <t>Number  of Parents</t>
  </si>
  <si>
    <t>Number of Teachers</t>
  </si>
  <si>
    <t>Total</t>
  </si>
  <si>
    <t>List of children names, Age, Contact number details</t>
  </si>
  <si>
    <t>Please mention whether lunch is needed or not.</t>
  </si>
  <si>
    <t>Whether Transport is needed or not</t>
  </si>
  <si>
    <t>If Transport needed, please share the full address &amp; Map Location Link ( Transport will be provided if minimum 10 members are in the same boarding point)</t>
  </si>
  <si>
    <t>Additional information</t>
  </si>
  <si>
    <t>NIEPMD,CHENNAI</t>
  </si>
  <si>
    <t>ECR,MUTTUKADU,CHENNAI</t>
  </si>
  <si>
    <t>EAST COAST ROAD</t>
  </si>
  <si>
    <t>CHENNAI</t>
  </si>
  <si>
    <t>Tamilnadu</t>
  </si>
  <si>
    <t>KOVALAM</t>
  </si>
  <si>
    <t>JEEVA C</t>
  </si>
  <si>
    <t>9944241064</t>
  </si>
  <si>
    <t>9962102360</t>
  </si>
  <si>
    <t>niepmdreception@gmail.com</t>
  </si>
  <si>
    <t>(04427472113) 04427472046</t>
  </si>
  <si>
    <t>https://www.jotform.com/uploads/Ooruni/242253104129446/6005664518226855479/Freedom%20Carnival%20-%202024.pdf</t>
  </si>
  <si>
    <t>Yes</t>
  </si>
  <si>
    <t>1 Bus is needed for 40 members</t>
  </si>
  <si>
    <t>East Coast Road, Muttukadu, Kovalam Post, Chennai - 603 112, Tamilnadu
https://maps.app.goo.gl/224UTRopgNLwdUmy6</t>
  </si>
  <si>
    <t>We request 5 Wheel Chairs for Persons with Disabilities (Cerebral Palsy Children's), 10 Volunteers, 2 Buses and First Aid Box.</t>
  </si>
  <si>
    <t xml:space="preserve">NIEPMD Deafblind Unit Model School </t>
  </si>
  <si>
    <t>National Institute for Empowerment of Persons with Multiple Disabilities (Divyangjan)(NIEPMD) East C</t>
  </si>
  <si>
    <t>East Coast Road, Muttukadu, Kovalam Post</t>
  </si>
  <si>
    <t>Chennai</t>
  </si>
  <si>
    <t>Tamil Nadu</t>
  </si>
  <si>
    <t>603112</t>
  </si>
  <si>
    <t>Sheba</t>
  </si>
  <si>
    <t>8825953978</t>
  </si>
  <si>
    <t>9443707750</t>
  </si>
  <si>
    <t>modelschoolniepmd@gmail.com</t>
  </si>
  <si>
    <t>()</t>
  </si>
  <si>
    <t>https://www.jotform.com/uploads/Ooruni/242253104129446/6005618508227009949/Db%20secondary%20children%20name%20list%202024-2025.pdf</t>
  </si>
  <si>
    <t>National Institute for Empowerment of Persons with Multiple Disabilities (Divyangjan)
(Dept.of Empowerment of Persons with Disabilities(Divyangjan), Ministry of Social Justice &amp; Empowerment, Govt. of India)
East Coast Road, Kovalam Post, Muttukadu, Chennai - 603112, Tamil Nadu, India</t>
  </si>
  <si>
    <t>NIEPMD Model school Muttukaadu will combine with NIEPMD Service (Out of this(8+8)  ,2+2 Will come of their own)</t>
  </si>
  <si>
    <t>CSI school for the ASD &amp; ID</t>
  </si>
  <si>
    <t>No:12,Santhome high road, Mylapore, chennai-04</t>
  </si>
  <si>
    <t>600004</t>
  </si>
  <si>
    <t>Augusta</t>
  </si>
  <si>
    <t>9884438392</t>
  </si>
  <si>
    <t>9884468392</t>
  </si>
  <si>
    <t>roselineroseline30548@gmail.com</t>
  </si>
  <si>
    <t>() 9884438392</t>
  </si>
  <si>
    <t>CSI school for the ASD &amp; ID
No:12,Santhome high road 
Mylapore, Chennai -04</t>
  </si>
  <si>
    <t>CSI MAHIMAI ILLAM RESIDENTIAL SCHOOL FOR ID</t>
  </si>
  <si>
    <t>CSM  compound Azhagesan Nagar chengalpattu</t>
  </si>
  <si>
    <t>Azhagesan Nagar</t>
  </si>
  <si>
    <t>chengalpattu</t>
  </si>
  <si>
    <t>603001</t>
  </si>
  <si>
    <t>V CHRISTINAL SUSIGARAM</t>
  </si>
  <si>
    <t>9444806165</t>
  </si>
  <si>
    <t>04427433925</t>
  </si>
  <si>
    <t>csimahimaiillam@gmail.com</t>
  </si>
  <si>
    <t>(044) 27433925</t>
  </si>
  <si>
    <t>https://www.jotform.com/uploads/Ooruni/242253104129446/6004724444961022989/Freedom%20Name%20List.docx</t>
  </si>
  <si>
    <t>CSI MAHIMAI ILLAM, CSM COMPOUND CHENGALPATTU - 603 001 GH HOSPITAL OPPOSITE ROAD</t>
  </si>
  <si>
    <t>Arvind Out Reach-Ayapakkam</t>
  </si>
  <si>
    <t>No.1028, MIG,</t>
  </si>
  <si>
    <t>TNHB Colony</t>
  </si>
  <si>
    <t>Ayapakkam</t>
  </si>
  <si>
    <t>600077</t>
  </si>
  <si>
    <t>Revathy</t>
  </si>
  <si>
    <t>9884270696</t>
  </si>
  <si>
    <t>9843131797</t>
  </si>
  <si>
    <t>9500195010</t>
  </si>
  <si>
    <t>lakshanaj1990@gmail.com</t>
  </si>
  <si>
    <t>https://www.jotform.com/uploads/Ooruni/242253104129446/6003224937986753136/20240824_205501.jpg</t>
  </si>
  <si>
    <t>No.1028, MIG, TNHB colony, Ayapakkam,
Chennai - 600077.</t>
  </si>
  <si>
    <t>Arvindaalayam</t>
  </si>
  <si>
    <t>No.3, thiruvalluvar street, Kolappancheri,Pattabiram(via), Chennai</t>
  </si>
  <si>
    <t>600072</t>
  </si>
  <si>
    <t>9884270697</t>
  </si>
  <si>
    <t>6383895782</t>
  </si>
  <si>
    <t>arvindaalayalam@gmail.com</t>
  </si>
  <si>
    <t>https://www.jotform.com/uploads/Ooruni/242253104129446/6003006280347932673/IMG_20240824_145544.jpg</t>
  </si>
  <si>
    <t>No.3, thiruvalluvar street, Kolappancheri,Pattabiram(via), Chennai  600072
https://maps.app.goo.gl/oqPxgoTo1WSByLS29</t>
  </si>
  <si>
    <t>Arvindniketan</t>
  </si>
  <si>
    <t>387, 27th St, Sector 6, K. K. Nagar, Chennai, Tamil Nadu 600078</t>
  </si>
  <si>
    <t>387, 27th St, Sector 6</t>
  </si>
  <si>
    <t>K. K. Nagar, Chennai, Tamil Nadu</t>
  </si>
  <si>
    <t>600078</t>
  </si>
  <si>
    <t>7358698910</t>
  </si>
  <si>
    <t>vvtsinthiya@gmail.com</t>
  </si>
  <si>
    <t>https://www.jotform.com/uploads/Ooruni/242253104129446/6002037620815035625/IMG_20240823_115838.jpg</t>
  </si>
  <si>
    <t>Arvindniketan - 387, 27th St, Sector 6, K. K. Nagar, Chennai, Tamil Nadu 600078.
https://maps.app.goo.gl/sViBK8E5xeeQ5hpB9</t>
  </si>
  <si>
    <t>50 members will be coming to the event.</t>
  </si>
  <si>
    <t>ARVIND INSTITUTE FOR VOCATIONAL EXCELLENCE</t>
  </si>
  <si>
    <t>66TH STREET</t>
  </si>
  <si>
    <t>903, SECTOR 77 KK NAGAR</t>
  </si>
  <si>
    <t>TAMILNADU</t>
  </si>
  <si>
    <t>Revathy Rakesh</t>
  </si>
  <si>
    <t>7299911022</t>
  </si>
  <si>
    <t>admin@arvindfoundation.org</t>
  </si>
  <si>
    <t>https://www.jotform.com/uploads/Ooruni/242253104129446/6002099129214669681/17243997547435357514752251971921.jpg
https://www.jotform.com/uploads/Ooruni/242253104129446/6002099129214669681/17243997833812829241614230241492.jpg
https://www.jotform.com/uploads/Ooruni/242253104129446/6002099129214669681/17244004934045570274705645102262.jpg</t>
  </si>
  <si>
    <t>387, 27th St, Sector 6, K. K. Nagar, Chennai, Tamil Nadu 600078
https://maps.app.goo.gl/doAqu5fB825ndCbEA</t>
  </si>
  <si>
    <t>Music 🎶 facility needed in transport</t>
  </si>
  <si>
    <t>BAVISHYA DEEPAM</t>
  </si>
  <si>
    <t>NO 6 SAMATHUVAPURA SALAI</t>
  </si>
  <si>
    <t>OLD PERUNGALATHUR</t>
  </si>
  <si>
    <t>BALASUBRAMANIAN</t>
  </si>
  <si>
    <t>9444000889</t>
  </si>
  <si>
    <t>9566238318</t>
  </si>
  <si>
    <t>bavishyadeepam@gmail.com</t>
  </si>
  <si>
    <t>(044) 22761889</t>
  </si>
  <si>
    <t>https://www.jotform.com/uploads/Ooruni/242253104129446/6002167730412470667/Bavishya%20Deepam%20Participants%20list.pdf</t>
  </si>
  <si>
    <t>opp to chennai corporation office old perungalathur 
near mosque</t>
  </si>
  <si>
    <t>SWASTHA /TRuST/suguna</t>
  </si>
  <si>
    <t>50 santhanammal nagar iiird street</t>
  </si>
  <si>
    <t>Near SIVET college</t>
  </si>
  <si>
    <t>Gowriwakkam</t>
  </si>
  <si>
    <t>600073</t>
  </si>
  <si>
    <t>Sugunasridhar</t>
  </si>
  <si>
    <t>9884043037</t>
  </si>
  <si>
    <t>9884043036</t>
  </si>
  <si>
    <t>sugunasridhar65@gmail.com</t>
  </si>
  <si>
    <t>Vishalayam special school</t>
  </si>
  <si>
    <t>No 122,</t>
  </si>
  <si>
    <t>Perumal koil Street, kummanur village, Redhills</t>
  </si>
  <si>
    <t>600052</t>
  </si>
  <si>
    <t>Dr Prasad sundara Rajan</t>
  </si>
  <si>
    <t>09176071985</t>
  </si>
  <si>
    <t>09884050879</t>
  </si>
  <si>
    <t>9176071985</t>
  </si>
  <si>
    <t>prasadsundarajan@gmail.com</t>
  </si>
  <si>
    <t>Vishalayam special school 
No 122, Perumal koil Street, kummanur village, Redhills chennai 52
https://maps.google.com/?cid=16091987832427852917&amp;entry=gps</t>
  </si>
  <si>
    <t>https://maps.google.com/?cid=16091987832427852917&amp;entry=gps</t>
  </si>
  <si>
    <t>Little Hearts Residential vocational Training centre For Mentally Challenged Girls</t>
  </si>
  <si>
    <t>No. 9/173, Mosque Street,</t>
  </si>
  <si>
    <t>Kadapakkam post</t>
  </si>
  <si>
    <t>Cheyyur Tk, Chengalpattu Dist 603304</t>
  </si>
  <si>
    <t>Gayathri</t>
  </si>
  <si>
    <t>9843273881</t>
  </si>
  <si>
    <t>9003143942</t>
  </si>
  <si>
    <t>gayathriramesh.g1114@gmail.com</t>
  </si>
  <si>
    <t>() 9843273881</t>
  </si>
  <si>
    <t>No</t>
  </si>
  <si>
    <t/>
  </si>
  <si>
    <t>Navajyothi trust institute of mental retardation</t>
  </si>
  <si>
    <t>40,menambedu road, kachanakuppam, Ambattur industrial estate, chennai-98</t>
  </si>
  <si>
    <t>Menambedu road</t>
  </si>
  <si>
    <t>Tamil nadu</t>
  </si>
  <si>
    <t>600098</t>
  </si>
  <si>
    <t>Priyadarshini</t>
  </si>
  <si>
    <t>7010428781</t>
  </si>
  <si>
    <t>9884649115</t>
  </si>
  <si>
    <t>8122037115</t>
  </si>
  <si>
    <t>navajyothi06@yahoo.co.in</t>
  </si>
  <si>
    <t>SRISHTIKA TRAINING SCHOOL</t>
  </si>
  <si>
    <t>Gopal colony,Agaram</t>
  </si>
  <si>
    <t>Perambur</t>
  </si>
  <si>
    <t>600011</t>
  </si>
  <si>
    <t>JAYA SUMATHY VENKATESH</t>
  </si>
  <si>
    <t>8248380854</t>
  </si>
  <si>
    <t>9840689058</t>
  </si>
  <si>
    <t>9840589058</t>
  </si>
  <si>
    <t>srishtikatraining@gmail.com</t>
  </si>
  <si>
    <t>VISHA LEARNING CENTRE 
No. 58/30 a subramanian Street 
Nelvayal Road
Perambur bus terminus</t>
  </si>
  <si>
    <t>https://maps.app.goo.gl/ntsrxMZvxszTTS4H7?g_st=ac</t>
  </si>
  <si>
    <t>KUMARAN SPECIAL SCHOOL</t>
  </si>
  <si>
    <t>NO. 24</t>
  </si>
  <si>
    <t>7TH STREET, KAMARAJ NAGAR</t>
  </si>
  <si>
    <t>KOTHARI ROAD,</t>
  </si>
  <si>
    <t>ENNORE, CHENNAI</t>
  </si>
  <si>
    <t>600057, TAMILNADU</t>
  </si>
  <si>
    <t>SENTHAMILSELVI</t>
  </si>
  <si>
    <t>9840423125</t>
  </si>
  <si>
    <t>9710654687</t>
  </si>
  <si>
    <t>kumaransplschool24@gmail.com</t>
  </si>
  <si>
    <t>https://www.jotform.com/uploads/Ooruni/242253104129446/6000450877328332300/20240821_155125.jpg
https://www.jotform.com/uploads/Ooruni/242253104129446/6000450877328332300/20240821_155212.jpg</t>
  </si>
  <si>
    <t>No. 24, 7th Street, Kamaraj Nagar, Kothari Road, Ennore -600057.</t>
  </si>
  <si>
    <t>No of students - 29
No of staff's         -05
No of Parent's    -18
Total Numbers =52 Nos</t>
  </si>
  <si>
    <t>Iswari Prasad Dattatreya Special School</t>
  </si>
  <si>
    <t>No:10</t>
  </si>
  <si>
    <t>Dr. Durgabai Deshmukh Road</t>
  </si>
  <si>
    <t>Andhra Mahila Sabha</t>
  </si>
  <si>
    <t>Shanthi Jeyakumari</t>
  </si>
  <si>
    <t>8939124003</t>
  </si>
  <si>
    <t>9566779634</t>
  </si>
  <si>
    <t>santhi4003@gmail.com</t>
  </si>
  <si>
    <t>(044) 24938311</t>
  </si>
  <si>
    <t>https://www.jotform.com/uploads/Ooruni/242253104129446/6000272167511576960/17242179310229172284892719943673.jpg</t>
  </si>
  <si>
    <t>No:10, Durgabai Deshmukh Road,
Andhra Mahitha Sabha,
Raja Annamalai Puram,
Chennai -600028.</t>
  </si>
  <si>
    <t>DR.DURGABAI DESHMUKH SCHOOL CUM TRAINING CENTRE.,ANDHRA MAHILA SABHA..</t>
  </si>
  <si>
    <t>I P D O CENTRE</t>
  </si>
  <si>
    <t>RAJA ANNA MALI PURAM</t>
  </si>
  <si>
    <t>R A PURAM</t>
  </si>
  <si>
    <t>TAMIL NADU</t>
  </si>
  <si>
    <t>CHENNAI-28</t>
  </si>
  <si>
    <t>DHANDAPANI</t>
  </si>
  <si>
    <t>9841342747</t>
  </si>
  <si>
    <t>8072893636</t>
  </si>
  <si>
    <t>ddschool2022@gmail.com</t>
  </si>
  <si>
    <t>https://www.jotform.com/uploads/Ooruni/242253104129446/5999530107429357182/OORANI.xlsx
https://www.jotform.com/uploads/Ooruni/242253104129446/5999530107429357182/OORANI_4503.xlsx</t>
  </si>
  <si>
    <t>NO.10,DURGABHAI DESHMUKH ROAD,
ANDHRA MAHILA SABHA,
M.G.R.JANAGI COLLOGE OPPOSITE,
ADYAR,
CHENNAI-600028.</t>
  </si>
  <si>
    <t>Montessori School  IPDO Centre Andhra Mahila Sabha Chennai--28</t>
  </si>
  <si>
    <t>NO. 10Dr.DurgaBai Desh Mukh Road</t>
  </si>
  <si>
    <t>R. A. Puram</t>
  </si>
  <si>
    <t>Chennai- 28.</t>
  </si>
  <si>
    <t>600028</t>
  </si>
  <si>
    <t>BHANUMATHI</t>
  </si>
  <si>
    <t>8754587491</t>
  </si>
  <si>
    <t>9710510564</t>
  </si>
  <si>
    <t>bhanumathir738@gmail.com</t>
  </si>
  <si>
    <t>() 04424938311</t>
  </si>
  <si>
    <t>NO. 10 Dr. Durga Bai Desh Mukh Road
Andhra Mahila Sabha
R. A. Puram 
Chennai- 28
(Opposite to Sathya Studio)</t>
  </si>
  <si>
    <t>CHESHIRE HOME INDIA CHENNAI</t>
  </si>
  <si>
    <t>23 A 3RD SEA WARD ROAD VALMIKI NAGAR</t>
  </si>
  <si>
    <t>THIRUVANNIYUR</t>
  </si>
  <si>
    <t>THIRUVANMIYUR CHENNAI 41</t>
  </si>
  <si>
    <t>600041</t>
  </si>
  <si>
    <t>MARIMUTHU S</t>
  </si>
  <si>
    <t>09840915796</t>
  </si>
  <si>
    <t>9840093557</t>
  </si>
  <si>
    <t>9840915796</t>
  </si>
  <si>
    <t>marimuthushanmugam14@gmail.com</t>
  </si>
  <si>
    <t>(04424571215) 9840915796</t>
  </si>
  <si>
    <t>CHESHIRE HOME INDIA CHENNAI 23 A 3RD SEA WARD ROAD VALMIKI NAGAR NEAR SINGAPORE SHOPING COMPLEX THIRUVANNIYUR</t>
  </si>
  <si>
    <t>F.M.R. INDIA, Asha niketan</t>
  </si>
  <si>
    <t>No.1/288, East Coast Road Kottivakkam 600041</t>
  </si>
  <si>
    <t>Sangam Colony, Near India Oil Petrol pump</t>
  </si>
  <si>
    <t>Lozilo Kikon</t>
  </si>
  <si>
    <t>7397481477</t>
  </si>
  <si>
    <t>chennaiashaniketan@gmail.com</t>
  </si>
  <si>
    <t>https://www.jotform.com/uploads/Ooruni/242253104129446/5998788970266381015/20240819_173940.jpg</t>
  </si>
  <si>
    <t>F.M.R India, Asha Niketan, 1/288, East Coast Road, Kottivakkam, Chennai. 600041</t>
  </si>
  <si>
    <t>We will require pick up and drop in, 5 assistant will accompanied 13 adult intellectual challenge so all together we would need lunch for 18 members. Thank You</t>
  </si>
  <si>
    <t>MCDS PERUMBAKKAM</t>
  </si>
  <si>
    <t>AA- Block, No: 7&amp;8.</t>
  </si>
  <si>
    <t>Perumbakkam,</t>
  </si>
  <si>
    <t>Near ; Boliniyan Flots</t>
  </si>
  <si>
    <t>Chennai - 600100</t>
  </si>
  <si>
    <t>Iruthaya Mary</t>
  </si>
  <si>
    <t>7305939262</t>
  </si>
  <si>
    <t>9791024399</t>
  </si>
  <si>
    <t>vijayalakshmi192008@gmail.com</t>
  </si>
  <si>
    <t>(04422640073) 9791024399</t>
  </si>
  <si>
    <t>https://www.jotform.com/uploads/Ooruni/242253104129446/5998758646699091861/WhatsApp%20Image%202024-08-19%20at%2012.27.59%20PM.jpeg</t>
  </si>
  <si>
    <t>12°52'44.4"N 80°12'29.6"E</t>
  </si>
  <si>
    <t>Montfort Community Development Society (MCDS) Kannagi Nagar</t>
  </si>
  <si>
    <t>No: 2437</t>
  </si>
  <si>
    <t>Near Govt. Higher secondary School</t>
  </si>
  <si>
    <t>Kannagi Nagar</t>
  </si>
  <si>
    <t>Chennai - 600097</t>
  </si>
  <si>
    <t>Manonmani</t>
  </si>
  <si>
    <t>8807892720</t>
  </si>
  <si>
    <t>https://www.jotform.com/uploads/Ooruni/242253104129446/5998756806695522234/WhatsApp%20Image%202024-08-19%20at%204.36.16%20PM.jpeg</t>
  </si>
  <si>
    <t>Alakandeswarar Nagar, Kannagi Nagar, Thoraipakkam, Tamil Nadu 600097</t>
  </si>
  <si>
    <t>Montfort Community Development Society (MCDS) Chemmancherry</t>
  </si>
  <si>
    <t>No; 3333 &amp; 3334</t>
  </si>
  <si>
    <t>Tamil Nadu Urban Habbit Development Board. (TNUHB)</t>
  </si>
  <si>
    <t>Chemmancherry</t>
  </si>
  <si>
    <t>Chennai - 600119</t>
  </si>
  <si>
    <t>Jabakani</t>
  </si>
  <si>
    <t>9962067095</t>
  </si>
  <si>
    <t>https://www.jotform.com/uploads/Ooruni/242253104129446/5998752146699144935/WhatsApp%20Image%202024-08-19%20at%204.36.16%20PM.jpeg</t>
  </si>
  <si>
    <t>Semmancheri, Chennai, Tamil Nadu 600119</t>
  </si>
  <si>
    <t>Montfort Community Development Society (MCDS) Srinivasapuram</t>
  </si>
  <si>
    <t>17th Block Opp</t>
  </si>
  <si>
    <t>Srinivasapuram, Pattinapakkam.</t>
  </si>
  <si>
    <t>Foreshore Estate , (Santhome high road)</t>
  </si>
  <si>
    <t>Chennai - 600028</t>
  </si>
  <si>
    <t>BOBBY</t>
  </si>
  <si>
    <t>8939544913</t>
  </si>
  <si>
    <t>https://www.jotform.com/uploads/Ooruni/242253104129446/5998742276694847773/srinivasapuram%20oorani-2024.docx</t>
  </si>
  <si>
    <t>https://maps.google.com/maps?q=13.0195254%2C80.2773389&amp;z=17&amp;hl=en</t>
  </si>
  <si>
    <t>Pathway-Sabin Home For Persons With Intellectual Disability and Associated conditions</t>
  </si>
  <si>
    <t>No.1,Dr. ADSN Prasad street,Agili vilage,</t>
  </si>
  <si>
    <t>Madhuranthakam taluk,</t>
  </si>
  <si>
    <t>Chengalpattu</t>
  </si>
  <si>
    <t>603319</t>
  </si>
  <si>
    <t>Meganathan S</t>
  </si>
  <si>
    <t>9551653960</t>
  </si>
  <si>
    <t>8110073356</t>
  </si>
  <si>
    <t>sabinpathway@gmail.com</t>
  </si>
  <si>
    <t>https://www.jotform.com/uploads/Ooruni/242253104129446/5998708179578132525/Ooruni%20registration%20Sabin-2024.xlsx</t>
  </si>
  <si>
    <t>Pathway-Sabin Home For Persons With Intellectual Disability and Associated conditions,No.1,Dr. ADSN Prasad street,Agili vilage, Madhuranthakam taluk,Chengalpattu-603319.
Google Maps:https://maps.app.goo.gl/1gkSgpmMmpcnrfydA</t>
  </si>
  <si>
    <t>5 staff will be accompanying the children kindly arrange food for them too.</t>
  </si>
  <si>
    <t>PATHWAY SPECIAL SCHOOL FOR THE INTELLECTUAL DISABLE</t>
  </si>
  <si>
    <t>E76/1 12TH WEST KAMARAJ STREET THIRUVANMIYUR CHENNA</t>
  </si>
  <si>
    <t>Kamaraj Nagar</t>
  </si>
  <si>
    <t>Thiruvanmiyur</t>
  </si>
  <si>
    <t>Jayaseeli</t>
  </si>
  <si>
    <t>7871021924</t>
  </si>
  <si>
    <t>9840121859</t>
  </si>
  <si>
    <t>pathwayprincipal@gmail.com</t>
  </si>
  <si>
    <t>(41) 04424488366</t>
  </si>
  <si>
    <t>E76/1 12th west kamaraj street thiruvanmiyur chennai 41 near thiruvanmiyur post office</t>
  </si>
  <si>
    <t>We will send all' the students and staff details by courier and watsapp</t>
  </si>
  <si>
    <t>GOVERNMENT MIDDLE SCHOOL FOR HEARING IMPAIRED</t>
  </si>
  <si>
    <t>6A,Judge colony, Home road,</t>
  </si>
  <si>
    <t>Tambaram sanatorium</t>
  </si>
  <si>
    <t>600047</t>
  </si>
  <si>
    <t>B KAVITHA</t>
  </si>
  <si>
    <t>7397475322</t>
  </si>
  <si>
    <t>8939749286</t>
  </si>
  <si>
    <t>deafschooltambaram48@gmail.com</t>
  </si>
  <si>
    <t>(044) 22230327</t>
  </si>
  <si>
    <t>Government middle school for hearing impaired, 6A,Judge colony, Home road, Tambaram Sanatorium, Chennai 47
Behind Govt Service Home.</t>
  </si>
  <si>
    <t>Next campus of THOZHI HOSTEL</t>
  </si>
  <si>
    <t>VIDHYA PRAKAASHAM</t>
  </si>
  <si>
    <t>No. 1,</t>
  </si>
  <si>
    <t>Old railway station road,</t>
  </si>
  <si>
    <t>Kancheepuram</t>
  </si>
  <si>
    <t>631502</t>
  </si>
  <si>
    <t>Mallika P</t>
  </si>
  <si>
    <t>8072319189</t>
  </si>
  <si>
    <t>8056153699</t>
  </si>
  <si>
    <t>mallikap2002@gmail.com</t>
  </si>
  <si>
    <t>(044) 27229533</t>
  </si>
  <si>
    <t>https://www.jotform.com/uploads/Ooruni/242253104129446/5998644817031067659/17240548330782690243269827750365.jpg
https://www.jotform.com/uploads/Ooruni/242253104129446/5998644817031067659/17240548735738192529220537053035.jpg</t>
  </si>
  <si>
    <t>Vidhya prakasam
School for intellectually challenged children,
No.1, Old railway station road, 
Kancheepuram</t>
  </si>
  <si>
    <t>The 37 children are accompanied by 30 parents and 11 staff. So we give you a head count of  78 people in total for transport and food provision.</t>
  </si>
  <si>
    <t>Anandam special school</t>
  </si>
  <si>
    <t>Kallikuppam , ambattur</t>
  </si>
  <si>
    <t>Ganga nagar</t>
  </si>
  <si>
    <t>Ambattur</t>
  </si>
  <si>
    <t>Karthik</t>
  </si>
  <si>
    <t>08012051013</t>
  </si>
  <si>
    <t>8012051013</t>
  </si>
  <si>
    <t>karthikumaga@gmail.com</t>
  </si>
  <si>
    <t>PAMMAL ANNAI THERESA HANDICAPPED TRUST MADHURANTHAGAM BRANCH 2</t>
  </si>
  <si>
    <t>NO = 9/70</t>
  </si>
  <si>
    <t>B 2</t>
  </si>
  <si>
    <t>SOONAMBEDU ROAD</t>
  </si>
  <si>
    <t>OLD MAMBAKKAM</t>
  </si>
  <si>
    <t>603306</t>
  </si>
  <si>
    <t>MADHAVAN</t>
  </si>
  <si>
    <t>9944231704</t>
  </si>
  <si>
    <t>9176256748</t>
  </si>
  <si>
    <t>pammalkavithaa@gmail.com</t>
  </si>
  <si>
    <t>(603306) 9176256748</t>
  </si>
  <si>
    <t>MADHURANTHAGAM JUNCTION</t>
  </si>
  <si>
    <t>Pammal Annai Thresa Handicapped welfere Trust</t>
  </si>
  <si>
    <t>No:38</t>
  </si>
  <si>
    <t>T. L. Ragupathi Street, pammal</t>
  </si>
  <si>
    <t>600075</t>
  </si>
  <si>
    <t>Hundred</t>
  </si>
  <si>
    <t>7845983985</t>
  </si>
  <si>
    <t>www.pammalkavithaa@gmail.com</t>
  </si>
  <si>
    <t>100 special children</t>
  </si>
  <si>
    <t>All my trust members</t>
  </si>
  <si>
    <t>Sai vocational development and education centre</t>
  </si>
  <si>
    <t>1834 vasantham colony Anna Nagar West Chennai 40</t>
  </si>
  <si>
    <t>3rd Street, 18th main road</t>
  </si>
  <si>
    <t>600 040</t>
  </si>
  <si>
    <t>Harikrishnan</t>
  </si>
  <si>
    <t>9551282805</t>
  </si>
  <si>
    <t>9444950924</t>
  </si>
  <si>
    <t>svectn@gmail.com</t>
  </si>
  <si>
    <t>(044) 26180924</t>
  </si>
  <si>
    <t>Sai vocational development and education centre 1834 vasantham colony Anna Nagar West 18th main road Chennai 40</t>
  </si>
  <si>
    <t>Mathan D</t>
  </si>
  <si>
    <t>Thilagam</t>
  </si>
  <si>
    <t>9940644325</t>
  </si>
  <si>
    <t>9444151717</t>
  </si>
  <si>
    <t>amsipd@gmail.com</t>
  </si>
  <si>
    <t>Maraimalai nagar</t>
  </si>
  <si>
    <t>Ganesh kumar G</t>
  </si>
  <si>
    <t>Saradha devi</t>
  </si>
  <si>
    <t>9894757493</t>
  </si>
  <si>
    <t>9894307775</t>
  </si>
  <si>
    <t>Ramyasgifts@gmail.com</t>
  </si>
  <si>
    <t>Urapakkam</t>
  </si>
  <si>
    <t xml:space="preserve">Number of Schools  </t>
  </si>
  <si>
    <t xml:space="preserve"> KIDS : </t>
  </si>
  <si>
    <t xml:space="preserve">Parents </t>
  </si>
  <si>
    <t>Teachers</t>
  </si>
  <si>
    <t>Total 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</si>
</sst>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rgb="FF000000"/>
      <name val="Arial"/>
      <scheme val="minor"/>
    </font>
    <font>
      <sz val="12.0"/>
      <color rgb="FF000000"/>
      <name val="Calibri"/>
    </font>
    <font>
      <b/>
      <sz val="11.0"/>
      <color rgb="FF000000"/>
      <name val="Calibri"/>
    </font>
    <font>
      <i/>
      <u/>
      <sz val="12.0"/>
      <color rgb="FF000000"/>
      <name val="Calibri"/>
    </font>
    <font>
      <b/>
      <sz val="16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D6DCE4"/>
        <bgColor rgb="FFD6DCE4"/>
      </patternFill>
    </fill>
    <fill>
      <patternFill patternType="solid">
        <fgColor rgb="FFC5E0B3"/>
        <bgColor rgb="FFC5E0B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1" xfId="0" applyAlignment="1" applyBorder="1" applyFont="1" applyNumberFormat="1">
      <alignment horizontal="center" shrinkToFit="0" vertical="center" wrapText="1"/>
    </xf>
    <xf borderId="1" fillId="2" fontId="2" numFmtId="1" xfId="0" applyAlignment="1" applyBorder="1" applyFont="1" applyNumberFormat="1">
      <alignment horizontal="center" shrinkToFit="0" wrapText="1"/>
    </xf>
    <xf borderId="2" fillId="3" fontId="1" numFmtId="0" xfId="0" applyAlignment="1" applyBorder="1" applyFill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1" xfId="0" applyAlignment="1" applyFont="1" applyNumberFormat="1">
      <alignment horizontal="center"/>
    </xf>
    <xf borderId="0" fillId="0" fontId="3" numFmtId="0" xfId="0" applyAlignment="1" applyFont="1">
      <alignment shrinkToFit="0" wrapText="1"/>
    </xf>
    <xf borderId="2" fillId="4" fontId="1" numFmtId="0" xfId="0" applyAlignment="1" applyBorder="1" applyFill="1" applyFont="1">
      <alignment shrinkToFit="0" wrapText="1"/>
    </xf>
    <xf borderId="2" fillId="5" fontId="1" numFmtId="0" xfId="0" applyAlignment="1" applyBorder="1" applyFill="1" applyFont="1">
      <alignment shrinkToFit="0" wrapText="1"/>
    </xf>
    <xf borderId="0" fillId="0" fontId="1" numFmtId="0" xfId="0" applyAlignment="1" applyFont="1">
      <alignment horizontal="center"/>
    </xf>
    <xf borderId="2" fillId="6" fontId="1" numFmtId="0" xfId="0" applyAlignment="1" applyBorder="1" applyFill="1" applyFont="1">
      <alignment shrinkToFit="0" wrapText="1"/>
    </xf>
    <xf borderId="2" fillId="7" fontId="1" numFmtId="0" xfId="0" applyAlignment="1" applyBorder="1" applyFill="1" applyFont="1">
      <alignment shrinkToFit="0" wrapText="1"/>
    </xf>
    <xf borderId="2" fillId="8" fontId="1" numFmtId="0" xfId="0" applyAlignment="1" applyBorder="1" applyFill="1" applyFont="1">
      <alignment shrinkToFit="0" wrapText="1"/>
    </xf>
    <xf borderId="0" fillId="0" fontId="1" numFmtId="1" xfId="0" applyAlignment="1" applyFont="1" applyNumberFormat="1">
      <alignment horizontal="left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horizontal="center"/>
    </xf>
    <xf borderId="4" fillId="0" fontId="4" numFmtId="1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horizontal="center"/>
    </xf>
    <xf borderId="6" fillId="0" fontId="4" numFmtId="1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right"/>
    </xf>
    <xf borderId="8" fillId="0" fontId="4" numFmtId="1" xfId="0" applyAlignment="1" applyBorder="1" applyFont="1" applyNumberFormat="1">
      <alignment horizontal="center" vertical="center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25.0"/>
    <col customWidth="1" min="3" max="3" width="30.25"/>
    <col customWidth="1" min="4" max="4" width="25.25"/>
    <col customWidth="1" min="5" max="5" width="14.13"/>
    <col customWidth="1" min="6" max="6" width="15.38"/>
    <col customWidth="1" min="7" max="8" width="12.5"/>
    <col customWidth="1" min="9" max="11" width="25.0"/>
    <col customWidth="1" min="12" max="12" width="30.63"/>
    <col customWidth="1" min="13" max="13" width="24.88"/>
    <col customWidth="1" min="14" max="14" width="12.88"/>
    <col customWidth="1" min="15" max="15" width="15.13"/>
    <col customWidth="1" min="16" max="16" width="11.5"/>
    <col customWidth="1" min="17" max="17" width="11.88"/>
    <col customWidth="1" min="18" max="18" width="25.0"/>
    <col customWidth="1" min="19" max="19" width="17.25"/>
    <col customWidth="1" min="20" max="20" width="18.75"/>
    <col customWidth="1" min="21" max="21" width="31.88"/>
    <col customWidth="1" min="22" max="22" width="19.88"/>
  </cols>
  <sheetData>
    <row r="1" ht="7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ht="102.0" customHeight="1">
      <c r="A2">
        <v>1.0</v>
      </c>
      <c r="B2" s="5" t="s">
        <v>22</v>
      </c>
      <c r="C2" s="6" t="s">
        <v>23</v>
      </c>
      <c r="D2" s="6" t="s">
        <v>24</v>
      </c>
      <c r="E2" t="s">
        <v>25</v>
      </c>
      <c r="F2" t="s">
        <v>26</v>
      </c>
      <c r="G2" s="6" t="s">
        <v>27</v>
      </c>
      <c r="H2" s="6" t="s">
        <v>28</v>
      </c>
      <c r="I2" t="s">
        <v>29</v>
      </c>
      <c r="J2" t="s">
        <v>30</v>
      </c>
      <c r="K2" t="s">
        <v>29</v>
      </c>
      <c r="L2" t="s">
        <v>31</v>
      </c>
      <c r="M2" t="s">
        <v>32</v>
      </c>
      <c r="N2" s="7">
        <v>113.0</v>
      </c>
      <c r="O2" s="7">
        <v>113.0</v>
      </c>
      <c r="P2" s="7">
        <v>4.0</v>
      </c>
      <c r="Q2" s="7" t="str">
        <f t="shared" ref="Q2:Q36" si="1">N2+O2+P2</f>
        <v>230</v>
      </c>
      <c r="R2" t="s">
        <v>33</v>
      </c>
      <c r="S2" t="s">
        <v>34</v>
      </c>
      <c r="T2" t="s">
        <v>35</v>
      </c>
      <c r="U2" s="6" t="s">
        <v>36</v>
      </c>
      <c r="V2" s="6" t="s">
        <v>37</v>
      </c>
    </row>
    <row r="3" ht="63.75" customHeight="1">
      <c r="A3">
        <v>2.0</v>
      </c>
      <c r="B3" s="5" t="s">
        <v>38</v>
      </c>
      <c r="C3" s="6" t="s">
        <v>39</v>
      </c>
      <c r="D3" s="6" t="s">
        <v>40</v>
      </c>
      <c r="E3" t="s">
        <v>41</v>
      </c>
      <c r="F3" t="s">
        <v>42</v>
      </c>
      <c r="G3" s="6" t="s">
        <v>43</v>
      </c>
      <c r="H3" s="6" t="s">
        <v>44</v>
      </c>
      <c r="I3" t="s">
        <v>45</v>
      </c>
      <c r="J3" t="s">
        <v>46</v>
      </c>
      <c r="K3" t="s">
        <v>45</v>
      </c>
      <c r="L3" t="s">
        <v>47</v>
      </c>
      <c r="M3" t="s">
        <v>48</v>
      </c>
      <c r="N3" s="7">
        <v>8.0</v>
      </c>
      <c r="O3" s="7">
        <v>8.0</v>
      </c>
      <c r="P3" s="7">
        <v>0.0</v>
      </c>
      <c r="Q3" s="7" t="str">
        <f t="shared" si="1"/>
        <v>16</v>
      </c>
      <c r="R3" t="s">
        <v>49</v>
      </c>
      <c r="S3" t="s">
        <v>34</v>
      </c>
      <c r="T3" t="s">
        <v>34</v>
      </c>
      <c r="U3" s="6" t="s">
        <v>50</v>
      </c>
      <c r="V3" s="8" t="s">
        <v>51</v>
      </c>
    </row>
    <row r="4">
      <c r="A4">
        <v>3.0</v>
      </c>
      <c r="B4" s="9" t="s">
        <v>52</v>
      </c>
      <c r="C4" s="6" t="s">
        <v>53</v>
      </c>
      <c r="D4" s="6"/>
      <c r="E4" t="s">
        <v>41</v>
      </c>
      <c r="F4" t="s">
        <v>42</v>
      </c>
      <c r="G4" s="6" t="s">
        <v>54</v>
      </c>
      <c r="H4" s="6" t="s">
        <v>55</v>
      </c>
      <c r="I4" t="s">
        <v>56</v>
      </c>
      <c r="J4" t="s">
        <v>57</v>
      </c>
      <c r="K4" t="s">
        <v>56</v>
      </c>
      <c r="L4" t="s">
        <v>58</v>
      </c>
      <c r="M4" t="s">
        <v>59</v>
      </c>
      <c r="N4" s="7">
        <v>26.0</v>
      </c>
      <c r="O4" s="7">
        <v>26.0</v>
      </c>
      <c r="P4" s="7">
        <v>3.0</v>
      </c>
      <c r="Q4" s="7" t="str">
        <f t="shared" si="1"/>
        <v>55</v>
      </c>
      <c r="S4" t="s">
        <v>34</v>
      </c>
      <c r="T4" t="s">
        <v>34</v>
      </c>
      <c r="U4" s="6" t="s">
        <v>60</v>
      </c>
      <c r="V4" s="6"/>
    </row>
    <row r="5" ht="48.0" customHeight="1">
      <c r="A5">
        <v>4.0</v>
      </c>
      <c r="B5" s="9" t="s">
        <v>61</v>
      </c>
      <c r="C5" s="6" t="s">
        <v>62</v>
      </c>
      <c r="D5" s="6" t="s">
        <v>63</v>
      </c>
      <c r="E5" t="s">
        <v>64</v>
      </c>
      <c r="F5" t="s">
        <v>42</v>
      </c>
      <c r="G5" s="6" t="s">
        <v>65</v>
      </c>
      <c r="H5" s="6" t="s">
        <v>66</v>
      </c>
      <c r="I5" t="s">
        <v>67</v>
      </c>
      <c r="J5" t="s">
        <v>68</v>
      </c>
      <c r="K5" t="s">
        <v>67</v>
      </c>
      <c r="L5" t="s">
        <v>69</v>
      </c>
      <c r="M5" t="s">
        <v>70</v>
      </c>
      <c r="N5" s="7">
        <v>22.0</v>
      </c>
      <c r="O5" s="7">
        <v>10.0</v>
      </c>
      <c r="P5" s="7">
        <v>4.0</v>
      </c>
      <c r="Q5" s="7" t="str">
        <f t="shared" si="1"/>
        <v>36</v>
      </c>
      <c r="R5" t="s">
        <v>71</v>
      </c>
      <c r="S5" t="s">
        <v>34</v>
      </c>
      <c r="T5" t="s">
        <v>34</v>
      </c>
      <c r="U5" t="s">
        <v>72</v>
      </c>
      <c r="V5" s="6"/>
    </row>
    <row r="6">
      <c r="A6">
        <v>5.0</v>
      </c>
      <c r="B6" s="10" t="s">
        <v>73</v>
      </c>
      <c r="C6" s="6" t="s">
        <v>74</v>
      </c>
      <c r="D6" s="6" t="s">
        <v>75</v>
      </c>
      <c r="E6" t="s">
        <v>76</v>
      </c>
      <c r="F6" t="s">
        <v>41</v>
      </c>
      <c r="G6" s="6" t="s">
        <v>77</v>
      </c>
      <c r="H6" s="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48</v>
      </c>
      <c r="N6" s="7">
        <v>9.0</v>
      </c>
      <c r="O6" s="7">
        <v>9.0</v>
      </c>
      <c r="P6" s="7">
        <v>2.0</v>
      </c>
      <c r="Q6" s="7" t="str">
        <f t="shared" si="1"/>
        <v>20</v>
      </c>
      <c r="R6" t="s">
        <v>83</v>
      </c>
      <c r="S6" t="s">
        <v>34</v>
      </c>
      <c r="T6" t="s">
        <v>34</v>
      </c>
      <c r="U6" s="6" t="s">
        <v>84</v>
      </c>
      <c r="V6" s="6"/>
    </row>
    <row r="7" ht="55.5" customHeight="1">
      <c r="A7">
        <v>6.0</v>
      </c>
      <c r="B7" s="10" t="s">
        <v>85</v>
      </c>
      <c r="C7" s="6" t="s">
        <v>86</v>
      </c>
      <c r="D7" s="6"/>
      <c r="F7" t="s">
        <v>41</v>
      </c>
      <c r="G7" s="6" t="s">
        <v>87</v>
      </c>
      <c r="H7" s="6" t="s">
        <v>78</v>
      </c>
      <c r="I7" t="s">
        <v>88</v>
      </c>
      <c r="J7" t="s">
        <v>89</v>
      </c>
      <c r="K7" t="s">
        <v>89</v>
      </c>
      <c r="L7" t="s">
        <v>90</v>
      </c>
      <c r="M7" t="s">
        <v>48</v>
      </c>
      <c r="N7" s="7">
        <v>20.0</v>
      </c>
      <c r="O7" s="7">
        <v>20.0</v>
      </c>
      <c r="P7" s="7">
        <v>6.0</v>
      </c>
      <c r="Q7" s="7" t="str">
        <f t="shared" si="1"/>
        <v>46</v>
      </c>
      <c r="R7" t="s">
        <v>91</v>
      </c>
      <c r="S7" t="s">
        <v>34</v>
      </c>
      <c r="T7" t="s">
        <v>34</v>
      </c>
      <c r="U7" s="6" t="s">
        <v>92</v>
      </c>
      <c r="V7" s="6"/>
    </row>
    <row r="8">
      <c r="A8">
        <v>7.0</v>
      </c>
      <c r="B8" s="10" t="s">
        <v>93</v>
      </c>
      <c r="C8" s="6" t="s">
        <v>94</v>
      </c>
      <c r="D8" s="6" t="s">
        <v>95</v>
      </c>
      <c r="E8" t="s">
        <v>96</v>
      </c>
      <c r="F8" t="s">
        <v>41</v>
      </c>
      <c r="G8" s="6" t="s">
        <v>97</v>
      </c>
      <c r="H8" s="6" t="s">
        <v>78</v>
      </c>
      <c r="I8" t="s">
        <v>88</v>
      </c>
      <c r="J8" t="s">
        <v>98</v>
      </c>
      <c r="K8" t="s">
        <v>98</v>
      </c>
      <c r="L8" t="s">
        <v>99</v>
      </c>
      <c r="M8" t="s">
        <v>48</v>
      </c>
      <c r="N8" s="7">
        <v>23.0</v>
      </c>
      <c r="O8" s="7">
        <v>23.0</v>
      </c>
      <c r="P8" s="7">
        <v>3.0</v>
      </c>
      <c r="Q8" s="7" t="str">
        <f t="shared" si="1"/>
        <v>49</v>
      </c>
      <c r="R8" t="s">
        <v>100</v>
      </c>
      <c r="S8" t="s">
        <v>34</v>
      </c>
      <c r="T8" t="s">
        <v>34</v>
      </c>
      <c r="U8" s="6" t="s">
        <v>101</v>
      </c>
      <c r="V8" s="6" t="s">
        <v>102</v>
      </c>
    </row>
    <row r="9" ht="48.0" customHeight="1">
      <c r="A9">
        <v>8.0</v>
      </c>
      <c r="B9" s="10" t="s">
        <v>103</v>
      </c>
      <c r="C9" s="6" t="s">
        <v>104</v>
      </c>
      <c r="D9" s="6" t="s">
        <v>105</v>
      </c>
      <c r="E9" t="s">
        <v>25</v>
      </c>
      <c r="F9" t="s">
        <v>106</v>
      </c>
      <c r="G9" s="6" t="s">
        <v>97</v>
      </c>
      <c r="H9" s="6" t="s">
        <v>107</v>
      </c>
      <c r="I9" t="s">
        <v>88</v>
      </c>
      <c r="J9" t="s">
        <v>108</v>
      </c>
      <c r="K9" t="s">
        <v>88</v>
      </c>
      <c r="L9" t="s">
        <v>109</v>
      </c>
      <c r="M9" t="s">
        <v>48</v>
      </c>
      <c r="N9" s="11">
        <v>16.0</v>
      </c>
      <c r="O9" s="7">
        <v>0.0</v>
      </c>
      <c r="P9" s="7">
        <v>0.0</v>
      </c>
      <c r="Q9" s="7" t="str">
        <f t="shared" si="1"/>
        <v>16</v>
      </c>
      <c r="R9" s="6" t="s">
        <v>110</v>
      </c>
      <c r="T9" t="s">
        <v>34</v>
      </c>
      <c r="U9" s="6" t="s">
        <v>111</v>
      </c>
      <c r="V9" s="6" t="s">
        <v>112</v>
      </c>
    </row>
    <row r="10">
      <c r="A10">
        <v>9.0</v>
      </c>
      <c r="B10" s="6" t="s">
        <v>113</v>
      </c>
      <c r="C10" s="6" t="s">
        <v>114</v>
      </c>
      <c r="D10" s="6" t="s">
        <v>115</v>
      </c>
      <c r="E10" t="s">
        <v>25</v>
      </c>
      <c r="F10" t="s">
        <v>42</v>
      </c>
      <c r="G10" s="6" t="s">
        <v>25</v>
      </c>
      <c r="H10" s="6" t="s">
        <v>116</v>
      </c>
      <c r="I10" t="s">
        <v>117</v>
      </c>
      <c r="J10" t="s">
        <v>118</v>
      </c>
      <c r="K10" t="s">
        <v>117</v>
      </c>
      <c r="L10" t="s">
        <v>119</v>
      </c>
      <c r="M10" t="s">
        <v>120</v>
      </c>
      <c r="N10" s="7">
        <v>15.0</v>
      </c>
      <c r="O10" s="7">
        <v>8.0</v>
      </c>
      <c r="P10" s="7">
        <v>2.0</v>
      </c>
      <c r="Q10" s="7" t="str">
        <f t="shared" si="1"/>
        <v>25</v>
      </c>
      <c r="R10" t="s">
        <v>121</v>
      </c>
      <c r="S10" t="s">
        <v>34</v>
      </c>
      <c r="T10" t="s">
        <v>34</v>
      </c>
      <c r="U10" s="6" t="s">
        <v>122</v>
      </c>
      <c r="V10" s="6"/>
    </row>
    <row r="11">
      <c r="A11">
        <v>10.0</v>
      </c>
      <c r="B11" s="6" t="s">
        <v>123</v>
      </c>
      <c r="C11" s="6" t="s">
        <v>124</v>
      </c>
      <c r="D11" s="6" t="s">
        <v>125</v>
      </c>
      <c r="E11" t="s">
        <v>126</v>
      </c>
      <c r="F11" t="s">
        <v>42</v>
      </c>
      <c r="G11" s="6" t="s">
        <v>127</v>
      </c>
      <c r="H11" s="6" t="s">
        <v>128</v>
      </c>
      <c r="I11" t="s">
        <v>129</v>
      </c>
      <c r="J11" t="s">
        <v>130</v>
      </c>
      <c r="K11" t="s">
        <v>129</v>
      </c>
      <c r="L11" t="s">
        <v>131</v>
      </c>
      <c r="M11" t="s">
        <v>48</v>
      </c>
      <c r="N11" s="7">
        <v>14.0</v>
      </c>
      <c r="O11" s="7">
        <v>14.0</v>
      </c>
      <c r="P11" s="7">
        <v>2.0</v>
      </c>
      <c r="Q11" s="7" t="str">
        <f t="shared" si="1"/>
        <v>30</v>
      </c>
      <c r="S11" t="s">
        <v>34</v>
      </c>
      <c r="T11" t="s">
        <v>34</v>
      </c>
      <c r="V11" s="6"/>
    </row>
    <row r="12" ht="57.0" customHeight="1">
      <c r="A12">
        <v>11.0</v>
      </c>
      <c r="B12" s="6" t="s">
        <v>132</v>
      </c>
      <c r="C12" s="6" t="s">
        <v>133</v>
      </c>
      <c r="D12" s="6" t="s">
        <v>134</v>
      </c>
      <c r="E12" t="s">
        <v>41</v>
      </c>
      <c r="F12" t="s">
        <v>42</v>
      </c>
      <c r="G12" s="6" t="s">
        <v>135</v>
      </c>
      <c r="H12" s="6" t="s">
        <v>136</v>
      </c>
      <c r="I12" t="s">
        <v>137</v>
      </c>
      <c r="J12" t="s">
        <v>138</v>
      </c>
      <c r="K12" t="s">
        <v>139</v>
      </c>
      <c r="L12" t="s">
        <v>140</v>
      </c>
      <c r="M12" t="s">
        <v>48</v>
      </c>
      <c r="N12" s="7">
        <v>45.0</v>
      </c>
      <c r="O12" s="7">
        <v>0.0</v>
      </c>
      <c r="P12" s="7">
        <v>10.0</v>
      </c>
      <c r="Q12" s="7" t="str">
        <f t="shared" si="1"/>
        <v>55</v>
      </c>
      <c r="S12" t="s">
        <v>34</v>
      </c>
      <c r="T12" t="s">
        <v>34</v>
      </c>
      <c r="U12" s="6" t="s">
        <v>141</v>
      </c>
      <c r="V12" s="6" t="s">
        <v>142</v>
      </c>
    </row>
    <row r="13">
      <c r="A13">
        <v>12.0</v>
      </c>
      <c r="B13" s="6" t="s">
        <v>143</v>
      </c>
      <c r="C13" s="6" t="s">
        <v>144</v>
      </c>
      <c r="D13" s="6" t="s">
        <v>145</v>
      </c>
      <c r="E13" t="s">
        <v>146</v>
      </c>
      <c r="G13" s="6" t="s">
        <v>26</v>
      </c>
      <c r="H13" s="6" t="s">
        <v>147</v>
      </c>
      <c r="I13" t="s">
        <v>148</v>
      </c>
      <c r="J13" t="s">
        <v>149</v>
      </c>
      <c r="K13" t="s">
        <v>148</v>
      </c>
      <c r="L13" t="s">
        <v>150</v>
      </c>
      <c r="M13" t="s">
        <v>151</v>
      </c>
      <c r="N13" s="7">
        <v>5.0</v>
      </c>
      <c r="O13" s="7">
        <v>0.0</v>
      </c>
      <c r="P13" s="7">
        <v>2.0</v>
      </c>
      <c r="Q13" s="7" t="str">
        <f t="shared" si="1"/>
        <v>7</v>
      </c>
      <c r="S13" t="s">
        <v>34</v>
      </c>
      <c r="T13" t="s">
        <v>152</v>
      </c>
      <c r="U13" s="6" t="s">
        <v>153</v>
      </c>
      <c r="V13" s="6"/>
    </row>
    <row r="14">
      <c r="A14">
        <v>13.0</v>
      </c>
      <c r="B14" s="6" t="s">
        <v>154</v>
      </c>
      <c r="C14" s="6" t="s">
        <v>155</v>
      </c>
      <c r="D14" s="6" t="s">
        <v>156</v>
      </c>
      <c r="E14" t="s">
        <v>41</v>
      </c>
      <c r="F14" t="s">
        <v>157</v>
      </c>
      <c r="G14" s="6" t="s">
        <v>158</v>
      </c>
      <c r="H14" s="6" t="s">
        <v>159</v>
      </c>
      <c r="I14" t="s">
        <v>160</v>
      </c>
      <c r="J14" t="s">
        <v>161</v>
      </c>
      <c r="K14" t="s">
        <v>162</v>
      </c>
      <c r="L14" t="s">
        <v>163</v>
      </c>
      <c r="M14" t="s">
        <v>48</v>
      </c>
      <c r="N14" s="7">
        <v>40.0</v>
      </c>
      <c r="O14" s="7">
        <v>25.0</v>
      </c>
      <c r="P14" s="7">
        <v>8.0</v>
      </c>
      <c r="Q14" s="7" t="str">
        <f t="shared" si="1"/>
        <v>73</v>
      </c>
      <c r="T14" t="s">
        <v>34</v>
      </c>
      <c r="U14" t="s">
        <v>155</v>
      </c>
      <c r="V14" s="6"/>
    </row>
    <row r="15">
      <c r="A15">
        <v>14.0</v>
      </c>
      <c r="B15" s="6" t="s">
        <v>164</v>
      </c>
      <c r="C15" s="6" t="s">
        <v>165</v>
      </c>
      <c r="D15" s="6" t="s">
        <v>166</v>
      </c>
      <c r="E15" t="s">
        <v>41</v>
      </c>
      <c r="F15" t="s">
        <v>26</v>
      </c>
      <c r="G15" s="6" t="s">
        <v>167</v>
      </c>
      <c r="H15" s="6" t="s">
        <v>168</v>
      </c>
      <c r="I15" t="s">
        <v>169</v>
      </c>
      <c r="J15" t="s">
        <v>170</v>
      </c>
      <c r="K15" t="s">
        <v>171</v>
      </c>
      <c r="L15" t="s">
        <v>172</v>
      </c>
      <c r="M15" t="s">
        <v>48</v>
      </c>
      <c r="N15" s="7">
        <v>18.0</v>
      </c>
      <c r="O15" s="7">
        <v>5.0</v>
      </c>
      <c r="P15" s="7">
        <v>6.0</v>
      </c>
      <c r="Q15" s="7" t="str">
        <f t="shared" si="1"/>
        <v>29</v>
      </c>
      <c r="S15" t="s">
        <v>34</v>
      </c>
      <c r="T15" t="s">
        <v>34</v>
      </c>
      <c r="U15" s="6" t="s">
        <v>173</v>
      </c>
      <c r="V15" s="6" t="s">
        <v>174</v>
      </c>
    </row>
    <row r="16" ht="58.5" customHeight="1">
      <c r="A16">
        <v>15.0</v>
      </c>
      <c r="B16" s="6" t="s">
        <v>175</v>
      </c>
      <c r="C16" s="6" t="s">
        <v>176</v>
      </c>
      <c r="D16" s="6" t="s">
        <v>177</v>
      </c>
      <c r="E16" t="s">
        <v>178</v>
      </c>
      <c r="F16" t="s">
        <v>179</v>
      </c>
      <c r="G16" s="6" t="s">
        <v>180</v>
      </c>
      <c r="H16" s="6" t="s">
        <v>181</v>
      </c>
      <c r="I16" t="s">
        <v>182</v>
      </c>
      <c r="J16" t="s">
        <v>183</v>
      </c>
      <c r="K16" t="s">
        <v>182</v>
      </c>
      <c r="L16" t="s">
        <v>184</v>
      </c>
      <c r="M16" t="s">
        <v>48</v>
      </c>
      <c r="N16" s="7">
        <v>29.0</v>
      </c>
      <c r="O16" s="7">
        <v>18.0</v>
      </c>
      <c r="P16" s="7">
        <v>5.0</v>
      </c>
      <c r="Q16" s="7" t="str">
        <f t="shared" si="1"/>
        <v>52</v>
      </c>
      <c r="R16" s="6" t="s">
        <v>185</v>
      </c>
      <c r="S16" t="s">
        <v>34</v>
      </c>
      <c r="T16" t="s">
        <v>34</v>
      </c>
      <c r="U16" t="s">
        <v>186</v>
      </c>
      <c r="V16" s="6" t="s">
        <v>187</v>
      </c>
    </row>
    <row r="17">
      <c r="A17">
        <v>16.0</v>
      </c>
      <c r="B17" s="6" t="s">
        <v>188</v>
      </c>
      <c r="C17" s="6" t="s">
        <v>189</v>
      </c>
      <c r="D17" s="6" t="s">
        <v>190</v>
      </c>
      <c r="E17" t="s">
        <v>191</v>
      </c>
      <c r="F17" t="s">
        <v>41</v>
      </c>
      <c r="G17" s="6" t="s">
        <v>26</v>
      </c>
      <c r="H17" s="6" t="s">
        <v>192</v>
      </c>
      <c r="I17" t="s">
        <v>193</v>
      </c>
      <c r="J17" t="s">
        <v>194</v>
      </c>
      <c r="K17" t="s">
        <v>193</v>
      </c>
      <c r="L17" t="s">
        <v>195</v>
      </c>
      <c r="M17" t="s">
        <v>196</v>
      </c>
      <c r="N17" s="7">
        <v>15.0</v>
      </c>
      <c r="O17" s="7">
        <v>2.0</v>
      </c>
      <c r="P17" s="7">
        <v>0.0</v>
      </c>
      <c r="Q17" s="7" t="str">
        <f t="shared" si="1"/>
        <v>17</v>
      </c>
      <c r="R17" t="s">
        <v>197</v>
      </c>
      <c r="S17" t="s">
        <v>34</v>
      </c>
      <c r="T17" t="s">
        <v>34</v>
      </c>
      <c r="U17" s="6" t="s">
        <v>198</v>
      </c>
      <c r="V17" s="6"/>
    </row>
    <row r="18" ht="94.5" customHeight="1">
      <c r="A18">
        <v>17.0</v>
      </c>
      <c r="B18" s="6" t="s">
        <v>199</v>
      </c>
      <c r="C18" s="6" t="s">
        <v>200</v>
      </c>
      <c r="D18" s="6" t="s">
        <v>201</v>
      </c>
      <c r="E18" t="s">
        <v>202</v>
      </c>
      <c r="F18" t="s">
        <v>203</v>
      </c>
      <c r="G18" s="6" t="s">
        <v>204</v>
      </c>
      <c r="H18" s="6" t="s">
        <v>205</v>
      </c>
      <c r="I18" t="s">
        <v>206</v>
      </c>
      <c r="J18" t="s">
        <v>207</v>
      </c>
      <c r="K18" t="s">
        <v>206</v>
      </c>
      <c r="L18" t="s">
        <v>208</v>
      </c>
      <c r="M18" t="s">
        <v>196</v>
      </c>
      <c r="N18" s="7">
        <v>37.0</v>
      </c>
      <c r="O18" s="7">
        <v>4.0</v>
      </c>
      <c r="P18" s="7">
        <v>5.0</v>
      </c>
      <c r="Q18" s="7" t="str">
        <f t="shared" si="1"/>
        <v>46</v>
      </c>
      <c r="R18" s="6" t="s">
        <v>209</v>
      </c>
      <c r="S18" t="s">
        <v>34</v>
      </c>
      <c r="T18" t="s">
        <v>34</v>
      </c>
      <c r="U18" s="6" t="s">
        <v>210</v>
      </c>
      <c r="V18" s="6"/>
    </row>
    <row r="19">
      <c r="A19">
        <v>18.0</v>
      </c>
      <c r="B19" s="6" t="s">
        <v>211</v>
      </c>
      <c r="C19" s="6" t="s">
        <v>212</v>
      </c>
      <c r="D19" s="6" t="s">
        <v>213</v>
      </c>
      <c r="E19" t="s">
        <v>214</v>
      </c>
      <c r="F19" t="s">
        <v>26</v>
      </c>
      <c r="G19" s="6" t="s">
        <v>215</v>
      </c>
      <c r="H19" s="6" t="s">
        <v>216</v>
      </c>
      <c r="I19" t="s">
        <v>217</v>
      </c>
      <c r="J19" t="s">
        <v>218</v>
      </c>
      <c r="K19" t="s">
        <v>217</v>
      </c>
      <c r="L19" t="s">
        <v>219</v>
      </c>
      <c r="M19" t="s">
        <v>220</v>
      </c>
      <c r="N19" s="7">
        <v>10.0</v>
      </c>
      <c r="O19" s="7">
        <v>3.0</v>
      </c>
      <c r="P19" s="7">
        <v>0.0</v>
      </c>
      <c r="Q19" s="7" t="str">
        <f t="shared" si="1"/>
        <v>13</v>
      </c>
      <c r="S19" t="s">
        <v>34</v>
      </c>
      <c r="T19" t="s">
        <v>34</v>
      </c>
      <c r="U19" s="6" t="s">
        <v>221</v>
      </c>
      <c r="V19" s="6"/>
    </row>
    <row r="20">
      <c r="A20">
        <v>19.0</v>
      </c>
      <c r="B20" s="6" t="s">
        <v>222</v>
      </c>
      <c r="C20" s="6" t="s">
        <v>223</v>
      </c>
      <c r="D20" s="6" t="s">
        <v>224</v>
      </c>
      <c r="E20" t="s">
        <v>225</v>
      </c>
      <c r="F20" t="s">
        <v>25</v>
      </c>
      <c r="G20" s="6" t="s">
        <v>226</v>
      </c>
      <c r="H20" s="6" t="s">
        <v>227</v>
      </c>
      <c r="I20" t="s">
        <v>228</v>
      </c>
      <c r="J20" t="s">
        <v>229</v>
      </c>
      <c r="K20" t="s">
        <v>230</v>
      </c>
      <c r="L20" t="s">
        <v>231</v>
      </c>
      <c r="M20" t="s">
        <v>232</v>
      </c>
      <c r="N20" s="7">
        <v>30.0</v>
      </c>
      <c r="O20" s="7">
        <v>5.0</v>
      </c>
      <c r="P20" s="7">
        <v>0.0</v>
      </c>
      <c r="Q20" s="7" t="str">
        <f t="shared" si="1"/>
        <v>35</v>
      </c>
      <c r="S20" t="s">
        <v>34</v>
      </c>
      <c r="T20" t="s">
        <v>34</v>
      </c>
      <c r="U20" t="s">
        <v>233</v>
      </c>
      <c r="V20" s="6"/>
    </row>
    <row r="21" ht="45.0" customHeight="1">
      <c r="A21">
        <v>20.0</v>
      </c>
      <c r="B21" s="6" t="s">
        <v>234</v>
      </c>
      <c r="C21" s="6" t="s">
        <v>235</v>
      </c>
      <c r="D21" s="6" t="s">
        <v>236</v>
      </c>
      <c r="E21" t="s">
        <v>41</v>
      </c>
      <c r="F21" t="s">
        <v>41</v>
      </c>
      <c r="G21" s="6" t="s">
        <v>226</v>
      </c>
      <c r="H21" s="6" t="s">
        <v>237</v>
      </c>
      <c r="I21" t="s">
        <v>238</v>
      </c>
      <c r="J21" t="s">
        <v>238</v>
      </c>
      <c r="K21" t="s">
        <v>238</v>
      </c>
      <c r="L21" t="s">
        <v>239</v>
      </c>
      <c r="M21" t="s">
        <v>48</v>
      </c>
      <c r="N21" s="7">
        <v>13.0</v>
      </c>
      <c r="O21" s="7">
        <v>5.0</v>
      </c>
      <c r="P21" s="7">
        <v>0.0</v>
      </c>
      <c r="Q21" s="7" t="str">
        <f t="shared" si="1"/>
        <v>18</v>
      </c>
      <c r="R21" t="s">
        <v>240</v>
      </c>
      <c r="S21" t="s">
        <v>34</v>
      </c>
      <c r="T21" t="s">
        <v>34</v>
      </c>
      <c r="U21" t="s">
        <v>241</v>
      </c>
      <c r="V21" s="6" t="s">
        <v>242</v>
      </c>
    </row>
    <row r="22">
      <c r="A22">
        <v>21.0</v>
      </c>
      <c r="B22" s="12" t="s">
        <v>243</v>
      </c>
      <c r="C22" s="6" t="s">
        <v>244</v>
      </c>
      <c r="D22" s="6" t="s">
        <v>245</v>
      </c>
      <c r="E22" t="s">
        <v>246</v>
      </c>
      <c r="F22" t="s">
        <v>42</v>
      </c>
      <c r="G22" s="6" t="s">
        <v>247</v>
      </c>
      <c r="H22" s="6" t="s">
        <v>248</v>
      </c>
      <c r="I22" t="s">
        <v>249</v>
      </c>
      <c r="J22" t="s">
        <v>250</v>
      </c>
      <c r="K22" t="s">
        <v>249</v>
      </c>
      <c r="L22" t="s">
        <v>251</v>
      </c>
      <c r="M22" t="s">
        <v>252</v>
      </c>
      <c r="N22" s="7">
        <v>15.0</v>
      </c>
      <c r="O22" s="7">
        <v>10.0</v>
      </c>
      <c r="P22" s="7">
        <v>1.0</v>
      </c>
      <c r="Q22" s="7" t="str">
        <f t="shared" si="1"/>
        <v>26</v>
      </c>
      <c r="R22" t="s">
        <v>253</v>
      </c>
      <c r="S22" t="s">
        <v>34</v>
      </c>
      <c r="T22" t="s">
        <v>34</v>
      </c>
      <c r="U22" t="s">
        <v>254</v>
      </c>
      <c r="V22" s="6"/>
    </row>
    <row r="23">
      <c r="A23">
        <v>22.0</v>
      </c>
      <c r="B23" s="12" t="s">
        <v>255</v>
      </c>
      <c r="C23" s="6" t="s">
        <v>256</v>
      </c>
      <c r="D23" s="6" t="s">
        <v>257</v>
      </c>
      <c r="E23" t="s">
        <v>258</v>
      </c>
      <c r="F23" t="s">
        <v>42</v>
      </c>
      <c r="G23" s="6" t="s">
        <v>259</v>
      </c>
      <c r="H23" s="6" t="s">
        <v>260</v>
      </c>
      <c r="I23" t="s">
        <v>261</v>
      </c>
      <c r="J23" t="s">
        <v>250</v>
      </c>
      <c r="K23" t="s">
        <v>261</v>
      </c>
      <c r="L23" t="s">
        <v>251</v>
      </c>
      <c r="M23" t="s">
        <v>252</v>
      </c>
      <c r="N23" s="7">
        <v>26.0</v>
      </c>
      <c r="O23" s="7">
        <v>3.0</v>
      </c>
      <c r="P23" s="7">
        <v>7.0</v>
      </c>
      <c r="Q23" s="7" t="str">
        <f t="shared" si="1"/>
        <v>36</v>
      </c>
      <c r="R23" t="s">
        <v>262</v>
      </c>
      <c r="S23" t="s">
        <v>34</v>
      </c>
      <c r="T23" t="s">
        <v>34</v>
      </c>
      <c r="U23" t="s">
        <v>263</v>
      </c>
      <c r="V23" s="6"/>
    </row>
    <row r="24">
      <c r="A24">
        <v>23.0</v>
      </c>
      <c r="B24" s="12" t="s">
        <v>264</v>
      </c>
      <c r="C24" s="6" t="s">
        <v>265</v>
      </c>
      <c r="D24" s="6" t="s">
        <v>266</v>
      </c>
      <c r="E24" t="s">
        <v>267</v>
      </c>
      <c r="F24" t="s">
        <v>42</v>
      </c>
      <c r="G24" s="6" t="s">
        <v>268</v>
      </c>
      <c r="H24" s="6" t="s">
        <v>269</v>
      </c>
      <c r="I24" t="s">
        <v>270</v>
      </c>
      <c r="J24" t="s">
        <v>250</v>
      </c>
      <c r="K24" t="s">
        <v>270</v>
      </c>
      <c r="L24" t="s">
        <v>251</v>
      </c>
      <c r="M24" t="s">
        <v>252</v>
      </c>
      <c r="N24" s="7">
        <v>26.0</v>
      </c>
      <c r="O24" s="7">
        <v>4.0</v>
      </c>
      <c r="P24" s="7">
        <v>10.0</v>
      </c>
      <c r="Q24" s="7" t="str">
        <f t="shared" si="1"/>
        <v>40</v>
      </c>
      <c r="R24" t="s">
        <v>271</v>
      </c>
      <c r="S24" t="s">
        <v>34</v>
      </c>
      <c r="T24" t="s">
        <v>34</v>
      </c>
      <c r="U24" t="s">
        <v>272</v>
      </c>
      <c r="V24" s="6"/>
    </row>
    <row r="25">
      <c r="A25">
        <v>24.0</v>
      </c>
      <c r="B25" s="12" t="s">
        <v>273</v>
      </c>
      <c r="C25" s="6" t="s">
        <v>274</v>
      </c>
      <c r="D25" s="6" t="s">
        <v>275</v>
      </c>
      <c r="E25" t="s">
        <v>276</v>
      </c>
      <c r="F25" t="s">
        <v>42</v>
      </c>
      <c r="G25" s="6" t="s">
        <v>277</v>
      </c>
      <c r="H25" s="6" t="s">
        <v>278</v>
      </c>
      <c r="I25" t="s">
        <v>279</v>
      </c>
      <c r="J25" t="s">
        <v>250</v>
      </c>
      <c r="K25" t="s">
        <v>279</v>
      </c>
      <c r="L25" t="s">
        <v>251</v>
      </c>
      <c r="M25" t="s">
        <v>252</v>
      </c>
      <c r="N25" s="7">
        <v>12.0</v>
      </c>
      <c r="O25" s="7">
        <v>12.0</v>
      </c>
      <c r="P25" s="7">
        <v>5.0</v>
      </c>
      <c r="Q25" s="7" t="str">
        <f t="shared" si="1"/>
        <v>29</v>
      </c>
      <c r="R25" t="s">
        <v>280</v>
      </c>
      <c r="S25" t="s">
        <v>34</v>
      </c>
      <c r="T25" t="s">
        <v>34</v>
      </c>
      <c r="U25" t="s">
        <v>281</v>
      </c>
      <c r="V25" s="6"/>
    </row>
    <row r="26" ht="60.75" customHeight="1">
      <c r="A26">
        <v>25.0</v>
      </c>
      <c r="B26" s="13" t="s">
        <v>282</v>
      </c>
      <c r="C26" s="6" t="s">
        <v>283</v>
      </c>
      <c r="D26" s="6" t="s">
        <v>284</v>
      </c>
      <c r="E26" t="s">
        <v>285</v>
      </c>
      <c r="F26" t="s">
        <v>42</v>
      </c>
      <c r="G26" s="6" t="s">
        <v>286</v>
      </c>
      <c r="H26" s="6" t="s">
        <v>287</v>
      </c>
      <c r="I26" t="s">
        <v>288</v>
      </c>
      <c r="J26" t="s">
        <v>289</v>
      </c>
      <c r="K26" t="s">
        <v>288</v>
      </c>
      <c r="L26" t="s">
        <v>290</v>
      </c>
      <c r="M26" t="s">
        <v>48</v>
      </c>
      <c r="N26" s="7">
        <v>44.0</v>
      </c>
      <c r="O26" s="7">
        <v>5.0</v>
      </c>
      <c r="P26" s="7">
        <v>0.0</v>
      </c>
      <c r="Q26" s="7" t="str">
        <f t="shared" si="1"/>
        <v>49</v>
      </c>
      <c r="R26" t="s">
        <v>291</v>
      </c>
      <c r="S26" t="s">
        <v>34</v>
      </c>
      <c r="T26" t="s">
        <v>34</v>
      </c>
      <c r="U26" s="6" t="s">
        <v>292</v>
      </c>
      <c r="V26" s="6" t="s">
        <v>293</v>
      </c>
    </row>
    <row r="27">
      <c r="A27">
        <v>26.0</v>
      </c>
      <c r="B27" s="13" t="s">
        <v>294</v>
      </c>
      <c r="C27" s="6" t="s">
        <v>295</v>
      </c>
      <c r="D27" s="6" t="s">
        <v>296</v>
      </c>
      <c r="E27" t="s">
        <v>297</v>
      </c>
      <c r="F27" t="s">
        <v>26</v>
      </c>
      <c r="G27" s="6" t="s">
        <v>41</v>
      </c>
      <c r="H27" s="6" t="s">
        <v>298</v>
      </c>
      <c r="I27" t="s">
        <v>299</v>
      </c>
      <c r="J27" t="s">
        <v>300</v>
      </c>
      <c r="K27" t="s">
        <v>299</v>
      </c>
      <c r="L27" t="s">
        <v>301</v>
      </c>
      <c r="M27" t="s">
        <v>302</v>
      </c>
      <c r="N27" s="7">
        <v>56.0</v>
      </c>
      <c r="O27" s="7">
        <v>11.0</v>
      </c>
      <c r="P27" s="7">
        <v>2.0</v>
      </c>
      <c r="Q27" s="7" t="str">
        <f t="shared" si="1"/>
        <v>69</v>
      </c>
      <c r="S27" t="s">
        <v>34</v>
      </c>
      <c r="T27" t="s">
        <v>34</v>
      </c>
      <c r="U27" t="s">
        <v>303</v>
      </c>
      <c r="V27" s="6" t="s">
        <v>304</v>
      </c>
    </row>
    <row r="28">
      <c r="A28">
        <v>27.0</v>
      </c>
      <c r="B28" s="6" t="s">
        <v>305</v>
      </c>
      <c r="C28" s="6" t="s">
        <v>306</v>
      </c>
      <c r="D28" s="6" t="s">
        <v>307</v>
      </c>
      <c r="E28" t="s">
        <v>41</v>
      </c>
      <c r="F28" t="s">
        <v>42</v>
      </c>
      <c r="G28" s="6" t="s">
        <v>308</v>
      </c>
      <c r="H28" s="6" t="s">
        <v>309</v>
      </c>
      <c r="I28" t="s">
        <v>310</v>
      </c>
      <c r="J28" t="s">
        <v>311</v>
      </c>
      <c r="K28" t="s">
        <v>311</v>
      </c>
      <c r="L28" t="s">
        <v>312</v>
      </c>
      <c r="M28" t="s">
        <v>313</v>
      </c>
      <c r="N28" s="7">
        <v>40.0</v>
      </c>
      <c r="O28" s="7">
        <v>15.0</v>
      </c>
      <c r="P28" s="7">
        <v>10.0</v>
      </c>
      <c r="Q28" s="7" t="str">
        <f t="shared" si="1"/>
        <v>65</v>
      </c>
      <c r="S28" t="s">
        <v>34</v>
      </c>
      <c r="T28" t="s">
        <v>34</v>
      </c>
      <c r="U28" s="6" t="s">
        <v>314</v>
      </c>
      <c r="V28" s="6" t="s">
        <v>315</v>
      </c>
    </row>
    <row r="29" ht="48.75" customHeight="1">
      <c r="A29">
        <v>28.0</v>
      </c>
      <c r="B29" s="6" t="s">
        <v>316</v>
      </c>
      <c r="C29" s="6" t="s">
        <v>317</v>
      </c>
      <c r="D29" s="6" t="s">
        <v>318</v>
      </c>
      <c r="E29" t="s">
        <v>319</v>
      </c>
      <c r="F29" t="s">
        <v>26</v>
      </c>
      <c r="G29" s="6" t="s">
        <v>320</v>
      </c>
      <c r="H29" s="6" t="s">
        <v>321</v>
      </c>
      <c r="I29" t="s">
        <v>322</v>
      </c>
      <c r="J29" t="s">
        <v>323</v>
      </c>
      <c r="K29" t="s">
        <v>323</v>
      </c>
      <c r="L29" t="s">
        <v>324</v>
      </c>
      <c r="M29" t="s">
        <v>325</v>
      </c>
      <c r="N29" s="7">
        <v>37.0</v>
      </c>
      <c r="O29" s="7">
        <v>11.0</v>
      </c>
      <c r="P29" s="7">
        <v>30.0</v>
      </c>
      <c r="Q29" s="7" t="str">
        <f t="shared" si="1"/>
        <v>78</v>
      </c>
      <c r="R29" s="6" t="s">
        <v>326</v>
      </c>
      <c r="S29" t="s">
        <v>34</v>
      </c>
      <c r="T29" t="s">
        <v>34</v>
      </c>
      <c r="U29" s="6" t="s">
        <v>327</v>
      </c>
      <c r="V29" s="6" t="s">
        <v>328</v>
      </c>
    </row>
    <row r="30" ht="24.75" customHeight="1">
      <c r="A30">
        <v>29.0</v>
      </c>
      <c r="B30" s="6" t="s">
        <v>329</v>
      </c>
      <c r="C30" s="6" t="s">
        <v>330</v>
      </c>
      <c r="D30" s="6" t="s">
        <v>331</v>
      </c>
      <c r="E30" t="s">
        <v>332</v>
      </c>
      <c r="F30" t="s">
        <v>41</v>
      </c>
      <c r="G30" s="6" t="s">
        <v>42</v>
      </c>
      <c r="H30" s="6" t="s">
        <v>333</v>
      </c>
      <c r="I30" t="s">
        <v>334</v>
      </c>
      <c r="J30" t="s">
        <v>334</v>
      </c>
      <c r="K30" t="s">
        <v>335</v>
      </c>
      <c r="L30" t="s">
        <v>336</v>
      </c>
      <c r="M30" t="s">
        <v>48</v>
      </c>
      <c r="N30" s="7">
        <v>30.0</v>
      </c>
      <c r="O30" s="7">
        <v>5.0</v>
      </c>
      <c r="P30" s="7">
        <v>5.0</v>
      </c>
      <c r="Q30" s="7" t="str">
        <f t="shared" si="1"/>
        <v>40</v>
      </c>
      <c r="S30" t="s">
        <v>34</v>
      </c>
      <c r="T30" t="s">
        <v>34</v>
      </c>
      <c r="V30" s="6"/>
    </row>
    <row r="31">
      <c r="A31">
        <v>30.0</v>
      </c>
      <c r="B31" s="14" t="s">
        <v>337</v>
      </c>
      <c r="C31" s="6" t="s">
        <v>338</v>
      </c>
      <c r="D31" s="6" t="s">
        <v>339</v>
      </c>
      <c r="E31" t="s">
        <v>340</v>
      </c>
      <c r="F31" t="s">
        <v>341</v>
      </c>
      <c r="G31" s="6" t="s">
        <v>342</v>
      </c>
      <c r="H31" s="6" t="s">
        <v>343</v>
      </c>
      <c r="I31" t="s">
        <v>344</v>
      </c>
      <c r="J31" t="s">
        <v>345</v>
      </c>
      <c r="K31" t="s">
        <v>345</v>
      </c>
      <c r="L31" t="s">
        <v>346</v>
      </c>
      <c r="M31" t="s">
        <v>347</v>
      </c>
      <c r="N31" s="7">
        <v>50.0</v>
      </c>
      <c r="O31" s="7">
        <v>30.0</v>
      </c>
      <c r="P31" s="7">
        <v>0.0</v>
      </c>
      <c r="Q31" s="7" t="str">
        <f t="shared" si="1"/>
        <v>80</v>
      </c>
      <c r="S31" t="s">
        <v>34</v>
      </c>
      <c r="T31" t="s">
        <v>34</v>
      </c>
      <c r="U31" t="s">
        <v>348</v>
      </c>
      <c r="V31" s="6"/>
    </row>
    <row r="32">
      <c r="A32">
        <v>31.0</v>
      </c>
      <c r="B32" s="14" t="s">
        <v>349</v>
      </c>
      <c r="C32" s="6" t="s">
        <v>350</v>
      </c>
      <c r="D32" s="6" t="s">
        <v>351</v>
      </c>
      <c r="E32" t="s">
        <v>41</v>
      </c>
      <c r="F32" t="s">
        <v>26</v>
      </c>
      <c r="G32" s="6" t="s">
        <v>352</v>
      </c>
      <c r="H32" s="6" t="s">
        <v>353</v>
      </c>
      <c r="I32" t="s">
        <v>345</v>
      </c>
      <c r="J32" t="s">
        <v>354</v>
      </c>
      <c r="K32" t="s">
        <v>345</v>
      </c>
      <c r="L32" t="s">
        <v>355</v>
      </c>
      <c r="M32" t="s">
        <v>48</v>
      </c>
      <c r="N32" s="7">
        <v>80.0</v>
      </c>
      <c r="O32" s="7">
        <v>7.0</v>
      </c>
      <c r="P32" s="7">
        <v>3.0</v>
      </c>
      <c r="Q32" s="7" t="str">
        <f t="shared" si="1"/>
        <v>90</v>
      </c>
      <c r="S32" t="s">
        <v>34</v>
      </c>
      <c r="T32" t="s">
        <v>34</v>
      </c>
      <c r="U32" t="s">
        <v>356</v>
      </c>
      <c r="V32" s="6" t="s">
        <v>357</v>
      </c>
    </row>
    <row r="33">
      <c r="A33">
        <v>32.0</v>
      </c>
      <c r="B33" s="6" t="s">
        <v>358</v>
      </c>
      <c r="C33" s="6" t="s">
        <v>359</v>
      </c>
      <c r="D33" s="6" t="s">
        <v>360</v>
      </c>
      <c r="E33" t="s">
        <v>41</v>
      </c>
      <c r="F33" t="s">
        <v>26</v>
      </c>
      <c r="G33" s="6" t="s">
        <v>361</v>
      </c>
      <c r="H33" s="6" t="s">
        <v>362</v>
      </c>
      <c r="I33" t="s">
        <v>363</v>
      </c>
      <c r="J33" t="s">
        <v>363</v>
      </c>
      <c r="K33" t="s">
        <v>364</v>
      </c>
      <c r="L33" t="s">
        <v>365</v>
      </c>
      <c r="M33" t="s">
        <v>366</v>
      </c>
      <c r="N33" s="7">
        <v>33.0</v>
      </c>
      <c r="O33" s="7">
        <v>8.0</v>
      </c>
      <c r="P33" s="7">
        <v>12.0</v>
      </c>
      <c r="Q33" s="7" t="str">
        <f t="shared" si="1"/>
        <v>53</v>
      </c>
      <c r="S33" t="s">
        <v>34</v>
      </c>
      <c r="T33" t="s">
        <v>34</v>
      </c>
      <c r="U33" t="s">
        <v>367</v>
      </c>
      <c r="V33" s="6"/>
    </row>
    <row r="34">
      <c r="A34">
        <v>33.0</v>
      </c>
      <c r="B34" s="6" t="s">
        <v>368</v>
      </c>
      <c r="C34" s="6"/>
      <c r="D34" s="6"/>
      <c r="G34" s="6"/>
      <c r="H34" s="6" t="s">
        <v>369</v>
      </c>
      <c r="I34" t="s">
        <v>370</v>
      </c>
      <c r="J34" t="s">
        <v>371</v>
      </c>
      <c r="K34" t="s">
        <v>370</v>
      </c>
      <c r="L34" t="s">
        <v>372</v>
      </c>
      <c r="M34" t="s">
        <v>48</v>
      </c>
      <c r="N34" s="7">
        <v>2.0</v>
      </c>
      <c r="O34" s="7">
        <v>0.0</v>
      </c>
      <c r="P34" s="7">
        <v>0.0</v>
      </c>
      <c r="Q34" s="7" t="str">
        <f t="shared" si="1"/>
        <v>2</v>
      </c>
      <c r="T34" t="s">
        <v>34</v>
      </c>
      <c r="U34" t="s">
        <v>373</v>
      </c>
      <c r="V34" s="6"/>
    </row>
    <row r="35">
      <c r="A35">
        <v>34.0</v>
      </c>
      <c r="B35" s="6" t="s">
        <v>374</v>
      </c>
      <c r="C35" s="6"/>
      <c r="D35" s="6"/>
      <c r="G35" s="6"/>
      <c r="H35" s="6" t="s">
        <v>375</v>
      </c>
      <c r="I35" t="s">
        <v>376</v>
      </c>
      <c r="J35" t="s">
        <v>377</v>
      </c>
      <c r="K35" t="s">
        <v>376</v>
      </c>
      <c r="L35" t="s">
        <v>378</v>
      </c>
      <c r="M35" t="s">
        <v>48</v>
      </c>
      <c r="N35" s="7">
        <v>1.0</v>
      </c>
      <c r="O35" s="7">
        <v>0.0</v>
      </c>
      <c r="P35" s="7">
        <v>0.0</v>
      </c>
      <c r="Q35" s="7" t="str">
        <f t="shared" si="1"/>
        <v>1</v>
      </c>
      <c r="T35" t="s">
        <v>34</v>
      </c>
      <c r="U35" t="s">
        <v>379</v>
      </c>
      <c r="V35" s="6"/>
    </row>
    <row r="36">
      <c r="B36" s="6"/>
      <c r="C36" s="6"/>
      <c r="D36" s="6"/>
      <c r="G36" s="6"/>
      <c r="H36" s="6"/>
      <c r="N36" s="7" t="str">
        <f t="shared" ref="N36:P36" si="2">SUM(N2:N35)</f>
        <v>960</v>
      </c>
      <c r="O36" s="7" t="str">
        <f t="shared" si="2"/>
        <v>419</v>
      </c>
      <c r="P36" s="7" t="str">
        <f t="shared" si="2"/>
        <v>147</v>
      </c>
      <c r="Q36" s="7" t="str">
        <f t="shared" si="1"/>
        <v>1526</v>
      </c>
      <c r="V36" s="6"/>
    </row>
    <row r="37">
      <c r="B37" s="6"/>
      <c r="C37" s="6"/>
      <c r="D37" s="6"/>
      <c r="G37" s="6"/>
      <c r="H37" s="6"/>
      <c r="N37" s="15"/>
      <c r="O37" s="15"/>
      <c r="P37" s="15"/>
      <c r="Q37" s="7"/>
      <c r="V37" s="6"/>
    </row>
    <row r="38">
      <c r="B38" s="6"/>
      <c r="C38" s="6"/>
      <c r="D38" s="6"/>
      <c r="G38" s="6"/>
      <c r="H38" s="6"/>
      <c r="N38" s="15"/>
      <c r="O38" s="15"/>
      <c r="P38" s="15"/>
      <c r="Q38" s="7"/>
      <c r="V38" s="6"/>
    </row>
    <row r="39">
      <c r="B39" s="6"/>
      <c r="C39" s="6"/>
      <c r="D39" s="6"/>
      <c r="G39" s="6"/>
      <c r="H39" s="6"/>
      <c r="N39" s="15"/>
      <c r="O39" s="15"/>
      <c r="P39" s="15"/>
      <c r="Q39" s="7"/>
      <c r="V39" s="6"/>
    </row>
    <row r="40">
      <c r="B40" s="6"/>
      <c r="C40" s="6"/>
      <c r="D40" s="6"/>
      <c r="G40" s="6"/>
      <c r="H40" s="6"/>
      <c r="N40" s="15"/>
      <c r="O40" s="15"/>
      <c r="P40" s="15"/>
      <c r="Q40" s="7"/>
      <c r="V40" s="6"/>
    </row>
    <row r="41">
      <c r="B41" s="16" t="s">
        <v>380</v>
      </c>
      <c r="C41" s="17">
        <v>32.0</v>
      </c>
      <c r="D41" s="6"/>
      <c r="G41" s="6"/>
      <c r="H41" s="6"/>
      <c r="M41" s="18" t="s">
        <v>381</v>
      </c>
      <c r="N41" s="19" t="str">
        <f>N36</f>
        <v>960</v>
      </c>
      <c r="O41" s="15"/>
      <c r="P41" s="15"/>
      <c r="Q41" s="7"/>
      <c r="V41" s="6"/>
    </row>
    <row r="42">
      <c r="B42" s="6"/>
      <c r="C42" s="6"/>
      <c r="D42" s="6"/>
      <c r="G42" s="6"/>
      <c r="H42" s="6"/>
      <c r="M42" s="20" t="s">
        <v>382</v>
      </c>
      <c r="N42" s="21" t="str">
        <f>O36</f>
        <v>419</v>
      </c>
      <c r="O42" s="15"/>
      <c r="P42" s="15"/>
      <c r="Q42" s="7"/>
      <c r="V42" s="6"/>
    </row>
    <row r="43">
      <c r="B43" s="6"/>
      <c r="C43" s="6"/>
      <c r="D43" s="6"/>
      <c r="G43" s="6"/>
      <c r="H43" s="6"/>
      <c r="M43" s="20" t="s">
        <v>383</v>
      </c>
      <c r="N43" s="21" t="str">
        <f>P36</f>
        <v>147</v>
      </c>
      <c r="O43" s="15"/>
      <c r="P43" s="15"/>
      <c r="Q43" s="7"/>
      <c r="V43" s="6"/>
    </row>
    <row r="44">
      <c r="B44" s="6"/>
      <c r="C44" s="6"/>
      <c r="D44" s="6"/>
      <c r="G44" s="6"/>
      <c r="H44" s="6"/>
      <c r="M44" s="22" t="s">
        <v>384</v>
      </c>
      <c r="N44" s="23" t="str">
        <f>SUM(N41:N43)</f>
        <v>1526</v>
      </c>
      <c r="O44" s="15"/>
      <c r="P44" s="15"/>
      <c r="Q44" s="7"/>
      <c r="V44" s="6"/>
    </row>
    <row r="45">
      <c r="B45" s="6"/>
      <c r="C45" s="6"/>
      <c r="D45" s="6"/>
      <c r="G45" s="6"/>
      <c r="H45" s="6"/>
      <c r="N45" s="24"/>
      <c r="O45" s="24"/>
      <c r="P45" s="24"/>
      <c r="Q45" s="7"/>
      <c r="V45" s="6"/>
    </row>
    <row r="46">
      <c r="B46" s="6"/>
      <c r="C46" s="6"/>
      <c r="D46" s="6"/>
      <c r="G46" s="6"/>
      <c r="H46" s="6"/>
      <c r="N46" s="24"/>
      <c r="O46" s="24"/>
      <c r="P46" s="24"/>
      <c r="Q46" s="7"/>
      <c r="V46" s="6"/>
    </row>
    <row r="47">
      <c r="B47" s="6"/>
      <c r="C47" s="6"/>
      <c r="D47" s="6"/>
      <c r="G47" s="6"/>
      <c r="H47" s="6"/>
      <c r="N47" s="24"/>
      <c r="O47" s="24"/>
      <c r="P47" s="24"/>
      <c r="Q47" s="7"/>
      <c r="V47" s="6"/>
    </row>
    <row r="48">
      <c r="B48" s="6"/>
      <c r="C48" s="6"/>
      <c r="D48" s="6"/>
      <c r="G48" s="6"/>
      <c r="H48" s="6"/>
      <c r="N48" s="24"/>
      <c r="O48" s="24"/>
      <c r="P48" s="24"/>
      <c r="Q48" s="7"/>
      <c r="V48" s="6"/>
    </row>
    <row r="49">
      <c r="B49" s="6"/>
      <c r="C49" s="6"/>
      <c r="D49" s="6"/>
      <c r="G49" s="6"/>
      <c r="H49" s="6"/>
      <c r="N49" s="24"/>
      <c r="O49" s="24"/>
      <c r="P49" s="24"/>
      <c r="Q49" s="7"/>
      <c r="V49" s="6"/>
    </row>
    <row r="50">
      <c r="B50" s="6"/>
      <c r="C50" s="6"/>
      <c r="D50" s="6"/>
      <c r="G50" s="6"/>
      <c r="H50" s="6"/>
      <c r="N50" s="24"/>
      <c r="O50" s="24"/>
      <c r="P50" s="24"/>
      <c r="Q50" s="7"/>
      <c r="V50" s="6"/>
    </row>
    <row r="51">
      <c r="B51" s="6"/>
      <c r="C51" s="6"/>
      <c r="D51" s="6"/>
      <c r="G51" s="6"/>
      <c r="H51" s="6"/>
      <c r="N51" s="24"/>
      <c r="O51" s="24"/>
      <c r="P51" s="24"/>
      <c r="Q51" s="7"/>
      <c r="V51" s="6"/>
    </row>
    <row r="52">
      <c r="B52" s="6"/>
      <c r="C52" s="6"/>
      <c r="D52" s="6"/>
      <c r="G52" s="6"/>
      <c r="H52" s="6"/>
      <c r="N52" s="24"/>
      <c r="O52" s="24"/>
      <c r="P52" s="24"/>
      <c r="Q52" s="7"/>
      <c r="V52" s="6"/>
    </row>
    <row r="53">
      <c r="B53" s="6"/>
      <c r="C53" s="6"/>
      <c r="D53" s="6"/>
      <c r="G53" s="6"/>
      <c r="H53" s="6"/>
      <c r="N53" s="24"/>
      <c r="O53" s="24"/>
      <c r="P53" s="24"/>
      <c r="Q53" s="7"/>
      <c r="V53" s="6"/>
    </row>
    <row r="54">
      <c r="B54" s="6"/>
      <c r="C54" s="6"/>
      <c r="D54" s="6"/>
      <c r="G54" s="6"/>
      <c r="H54" s="6"/>
      <c r="N54" s="24"/>
      <c r="O54" s="24"/>
      <c r="P54" s="24"/>
      <c r="Q54" s="7"/>
      <c r="V54" s="6"/>
    </row>
    <row r="55">
      <c r="B55" s="6"/>
      <c r="C55" s="6"/>
      <c r="D55" s="6"/>
      <c r="G55" s="6"/>
      <c r="H55" s="6"/>
      <c r="N55" s="24"/>
      <c r="O55" s="24"/>
      <c r="P55" s="24"/>
      <c r="Q55" s="7"/>
      <c r="V55" s="6"/>
    </row>
    <row r="56">
      <c r="B56" s="6"/>
      <c r="C56" s="6"/>
      <c r="D56" s="6"/>
      <c r="G56" s="6"/>
      <c r="H56" s="6"/>
      <c r="N56" s="24"/>
      <c r="O56" s="24"/>
      <c r="P56" s="24"/>
      <c r="Q56" s="7"/>
      <c r="V56" s="6"/>
    </row>
    <row r="57">
      <c r="B57" s="6"/>
      <c r="C57" s="6"/>
      <c r="D57" s="6"/>
      <c r="G57" s="6"/>
      <c r="H57" s="6"/>
      <c r="N57" s="24"/>
      <c r="O57" s="24"/>
      <c r="P57" s="24"/>
      <c r="Q57" s="7"/>
      <c r="V57" s="6"/>
    </row>
    <row r="58">
      <c r="B58" s="6"/>
      <c r="C58" s="6"/>
      <c r="D58" s="6"/>
      <c r="G58" s="6"/>
      <c r="H58" s="6"/>
      <c r="N58" s="24"/>
      <c r="O58" s="24"/>
      <c r="P58" s="24"/>
      <c r="Q58" s="7"/>
      <c r="V58" s="6"/>
    </row>
    <row r="59">
      <c r="B59" s="6"/>
      <c r="C59" s="6"/>
      <c r="D59" s="6"/>
      <c r="G59" s="6"/>
      <c r="H59" s="6"/>
      <c r="N59" s="24"/>
      <c r="O59" s="24"/>
      <c r="P59" s="24"/>
      <c r="Q59" s="7"/>
      <c r="V59" s="6"/>
    </row>
    <row r="60">
      <c r="B60" s="6"/>
      <c r="C60" s="6"/>
      <c r="D60" s="6"/>
      <c r="G60" s="6"/>
      <c r="H60" s="6"/>
      <c r="N60" s="24"/>
      <c r="O60" s="24"/>
      <c r="P60" s="24"/>
      <c r="Q60" s="7"/>
      <c r="V60" s="6"/>
    </row>
    <row r="61">
      <c r="B61" s="6"/>
      <c r="C61" s="6"/>
      <c r="D61" s="6"/>
      <c r="G61" s="6"/>
      <c r="H61" s="6"/>
      <c r="N61" s="24"/>
      <c r="O61" s="24"/>
      <c r="P61" s="24"/>
      <c r="Q61" s="7"/>
      <c r="V61" s="6"/>
    </row>
    <row r="62">
      <c r="B62" s="6"/>
      <c r="C62" s="6"/>
      <c r="D62" s="6"/>
      <c r="G62" s="6"/>
      <c r="H62" s="6"/>
      <c r="N62" s="24"/>
      <c r="O62" s="24"/>
      <c r="P62" s="24"/>
      <c r="Q62" s="7"/>
      <c r="V62" s="6"/>
    </row>
    <row r="63">
      <c r="B63" s="6"/>
      <c r="C63" s="6"/>
      <c r="D63" s="6"/>
      <c r="G63" s="6"/>
      <c r="H63" s="6"/>
      <c r="N63" s="24"/>
      <c r="O63" s="24"/>
      <c r="P63" s="24"/>
      <c r="Q63" s="7"/>
      <c r="V63" s="6"/>
    </row>
    <row r="64">
      <c r="B64" s="6"/>
      <c r="C64" s="6"/>
      <c r="D64" s="6"/>
      <c r="G64" s="6"/>
      <c r="H64" s="6"/>
      <c r="N64" s="24"/>
      <c r="O64" s="24"/>
      <c r="P64" s="24"/>
      <c r="Q64" s="7"/>
      <c r="V64" s="6"/>
    </row>
    <row r="65">
      <c r="B65" s="6"/>
      <c r="C65" s="6"/>
      <c r="D65" s="6"/>
      <c r="G65" s="6"/>
      <c r="H65" s="6"/>
      <c r="N65" s="24"/>
      <c r="O65" s="24"/>
      <c r="P65" s="24"/>
      <c r="Q65" s="7"/>
      <c r="V65" s="6"/>
    </row>
    <row r="66">
      <c r="B66" s="6"/>
      <c r="C66" s="6"/>
      <c r="D66" s="6"/>
      <c r="G66" s="6"/>
      <c r="H66" s="6"/>
      <c r="N66" s="24"/>
      <c r="O66" s="24"/>
      <c r="P66" s="24"/>
      <c r="Q66" s="7"/>
      <c r="V66" s="6"/>
    </row>
    <row r="67">
      <c r="B67" s="6"/>
      <c r="C67" s="6"/>
      <c r="D67" s="6"/>
      <c r="G67" s="6"/>
      <c r="H67" s="6"/>
      <c r="N67" s="24"/>
      <c r="O67" s="24"/>
      <c r="P67" s="24"/>
      <c r="Q67" s="7"/>
      <c r="V67" s="6"/>
    </row>
    <row r="68">
      <c r="B68" s="6"/>
      <c r="C68" s="6"/>
      <c r="D68" s="6"/>
      <c r="G68" s="6"/>
      <c r="H68" s="6"/>
      <c r="N68" s="24"/>
      <c r="O68" s="24"/>
      <c r="P68" s="24"/>
      <c r="Q68" s="7"/>
      <c r="V68" s="6"/>
    </row>
    <row r="69">
      <c r="B69" s="6"/>
      <c r="C69" s="6"/>
      <c r="D69" s="6"/>
      <c r="G69" s="6"/>
      <c r="H69" s="6"/>
      <c r="N69" s="24"/>
      <c r="O69" s="24"/>
      <c r="P69" s="24"/>
      <c r="Q69" s="7"/>
      <c r="V69" s="6"/>
    </row>
    <row r="70">
      <c r="B70" s="6"/>
      <c r="C70" s="6"/>
      <c r="D70" s="6"/>
      <c r="G70" s="6"/>
      <c r="H70" s="6"/>
      <c r="N70" s="24"/>
      <c r="O70" s="24"/>
      <c r="P70" s="24"/>
      <c r="Q70" s="7"/>
      <c r="V70" s="6"/>
    </row>
    <row r="71">
      <c r="B71" s="6"/>
      <c r="C71" s="6"/>
      <c r="D71" s="6"/>
      <c r="G71" s="6"/>
      <c r="H71" s="6"/>
      <c r="N71" s="24"/>
      <c r="O71" s="24"/>
      <c r="P71" s="24"/>
      <c r="Q71" s="7"/>
      <c r="V71" s="6"/>
    </row>
    <row r="72">
      <c r="B72" s="6"/>
      <c r="C72" s="6"/>
      <c r="D72" s="6"/>
      <c r="G72" s="6"/>
      <c r="H72" s="6"/>
      <c r="N72" s="24"/>
      <c r="O72" s="24"/>
      <c r="P72" s="24"/>
      <c r="Q72" s="7"/>
      <c r="V72" s="6"/>
    </row>
    <row r="73">
      <c r="B73" s="6"/>
      <c r="C73" s="6"/>
      <c r="D73" s="6"/>
      <c r="G73" s="6"/>
      <c r="H73" s="6"/>
      <c r="N73" s="24"/>
      <c r="O73" s="24"/>
      <c r="P73" s="24"/>
      <c r="Q73" s="7"/>
      <c r="V73" s="6"/>
    </row>
    <row r="74">
      <c r="B74" s="6"/>
      <c r="C74" s="6"/>
      <c r="D74" s="6"/>
      <c r="G74" s="6"/>
      <c r="H74" s="6"/>
      <c r="N74" s="24"/>
      <c r="O74" s="24"/>
      <c r="P74" s="24"/>
      <c r="Q74" s="7"/>
      <c r="V74" s="6"/>
    </row>
    <row r="75">
      <c r="B75" s="6"/>
      <c r="C75" s="6"/>
      <c r="D75" s="6"/>
      <c r="G75" s="6"/>
      <c r="H75" s="6"/>
      <c r="N75" s="24"/>
      <c r="O75" s="24"/>
      <c r="P75" s="24"/>
      <c r="Q75" s="7"/>
      <c r="V75" s="6"/>
    </row>
    <row r="76">
      <c r="B76" s="6"/>
      <c r="C76" s="6"/>
      <c r="D76" s="6"/>
      <c r="G76" s="6"/>
      <c r="H76" s="6"/>
      <c r="N76" s="24"/>
      <c r="O76" s="24"/>
      <c r="P76" s="24"/>
      <c r="Q76" s="7"/>
      <c r="V76" s="6"/>
    </row>
    <row r="77">
      <c r="B77" s="6"/>
      <c r="C77" s="6"/>
      <c r="D77" s="6"/>
      <c r="G77" s="6"/>
      <c r="H77" s="6"/>
      <c r="N77" s="24"/>
      <c r="O77" s="24"/>
      <c r="P77" s="24"/>
      <c r="Q77" s="7"/>
      <c r="V77" s="6"/>
    </row>
    <row r="78">
      <c r="B78" s="6"/>
      <c r="C78" s="6"/>
      <c r="D78" s="6"/>
      <c r="G78" s="6"/>
      <c r="H78" s="6"/>
      <c r="N78" s="24"/>
      <c r="O78" s="24"/>
      <c r="P78" s="24"/>
      <c r="Q78" s="7"/>
      <c r="V78" s="6"/>
    </row>
    <row r="79">
      <c r="B79" s="6"/>
      <c r="C79" s="6"/>
      <c r="D79" s="6"/>
      <c r="G79" s="6"/>
      <c r="H79" s="6"/>
      <c r="N79" s="24"/>
      <c r="O79" s="24"/>
      <c r="P79" s="24"/>
      <c r="Q79" s="7"/>
      <c r="V79" s="6"/>
    </row>
    <row r="80">
      <c r="B80" s="6"/>
      <c r="C80" s="6"/>
      <c r="D80" s="6"/>
      <c r="G80" s="6"/>
      <c r="H80" s="6"/>
      <c r="N80" s="24"/>
      <c r="O80" s="24"/>
      <c r="P80" s="24"/>
      <c r="Q80" s="7"/>
      <c r="V80" s="6"/>
    </row>
    <row r="81">
      <c r="B81" s="6"/>
      <c r="C81" s="6"/>
      <c r="D81" s="6"/>
      <c r="G81" s="6"/>
      <c r="H81" s="6"/>
      <c r="N81" s="24"/>
      <c r="O81" s="24"/>
      <c r="P81" s="24"/>
      <c r="Q81" s="7"/>
      <c r="V81" s="6"/>
    </row>
    <row r="82">
      <c r="B82" s="6"/>
      <c r="C82" s="6"/>
      <c r="D82" s="6"/>
      <c r="G82" s="6"/>
      <c r="H82" s="6"/>
      <c r="N82" s="24"/>
      <c r="O82" s="24"/>
      <c r="P82" s="24"/>
      <c r="Q82" s="7"/>
      <c r="V82" s="6"/>
    </row>
    <row r="83">
      <c r="B83" s="6"/>
      <c r="C83" s="6"/>
      <c r="D83" s="6"/>
      <c r="G83" s="6"/>
      <c r="H83" s="6"/>
      <c r="N83" s="24"/>
      <c r="O83" s="24"/>
      <c r="P83" s="24"/>
      <c r="Q83" s="7"/>
      <c r="V83" s="6"/>
    </row>
    <row r="84">
      <c r="B84" s="6"/>
      <c r="C84" s="6"/>
      <c r="D84" s="6"/>
      <c r="G84" s="6"/>
      <c r="H84" s="6"/>
      <c r="N84" s="24"/>
      <c r="O84" s="24"/>
      <c r="P84" s="24"/>
      <c r="Q84" s="7"/>
      <c r="V84" s="6"/>
    </row>
    <row r="85">
      <c r="B85" s="6"/>
      <c r="C85" s="6"/>
      <c r="D85" s="6"/>
      <c r="G85" s="6"/>
      <c r="H85" s="6"/>
      <c r="N85" s="24"/>
      <c r="O85" s="24"/>
      <c r="P85" s="24"/>
      <c r="Q85" s="7"/>
      <c r="V85" s="6"/>
    </row>
    <row r="86">
      <c r="B86" s="6"/>
      <c r="C86" s="6"/>
      <c r="D86" s="6"/>
      <c r="G86" s="6"/>
      <c r="H86" s="6"/>
      <c r="N86" s="24"/>
      <c r="O86" s="24"/>
      <c r="P86" s="24"/>
      <c r="Q86" s="7"/>
      <c r="V86" s="6"/>
    </row>
    <row r="87">
      <c r="B87" s="6"/>
      <c r="C87" s="6"/>
      <c r="D87" s="6"/>
      <c r="G87" s="6"/>
      <c r="H87" s="6"/>
      <c r="N87" s="24"/>
      <c r="O87" s="24"/>
      <c r="P87" s="24"/>
      <c r="Q87" s="7"/>
      <c r="V87" s="6"/>
    </row>
    <row r="88">
      <c r="B88" s="6"/>
      <c r="C88" s="6"/>
      <c r="D88" s="6"/>
      <c r="G88" s="6"/>
      <c r="H88" s="6"/>
      <c r="N88" s="24"/>
      <c r="O88" s="24"/>
      <c r="P88" s="24"/>
      <c r="Q88" s="7"/>
      <c r="V88" s="6"/>
    </row>
    <row r="89">
      <c r="B89" s="6"/>
      <c r="C89" s="6"/>
      <c r="D89" s="6"/>
      <c r="G89" s="6"/>
      <c r="H89" s="6"/>
      <c r="N89" s="24"/>
      <c r="O89" s="24"/>
      <c r="P89" s="24"/>
      <c r="Q89" s="7"/>
      <c r="V89" s="6"/>
    </row>
    <row r="90">
      <c r="B90" s="6"/>
      <c r="C90" s="6"/>
      <c r="D90" s="6"/>
      <c r="G90" s="6"/>
      <c r="H90" s="6"/>
      <c r="N90" s="24"/>
      <c r="O90" s="24"/>
      <c r="P90" s="24"/>
      <c r="Q90" s="7"/>
      <c r="V90" s="6"/>
    </row>
    <row r="91">
      <c r="B91" s="6"/>
      <c r="C91" s="6"/>
      <c r="D91" s="6"/>
      <c r="G91" s="6"/>
      <c r="H91" s="6"/>
      <c r="N91" s="24"/>
      <c r="O91" s="24"/>
      <c r="P91" s="24"/>
      <c r="Q91" s="7"/>
      <c r="V91" s="6"/>
    </row>
    <row r="92">
      <c r="B92" s="6"/>
      <c r="C92" s="6"/>
      <c r="D92" s="6"/>
      <c r="G92" s="6"/>
      <c r="H92" s="6"/>
      <c r="N92" s="24"/>
      <c r="O92" s="24"/>
      <c r="P92" s="24"/>
      <c r="Q92" s="7"/>
      <c r="V92" s="6"/>
    </row>
    <row r="93">
      <c r="B93" s="6"/>
      <c r="C93" s="6"/>
      <c r="D93" s="6"/>
      <c r="G93" s="6"/>
      <c r="H93" s="6"/>
      <c r="N93" s="24"/>
      <c r="O93" s="24"/>
      <c r="P93" s="24"/>
      <c r="Q93" s="7"/>
      <c r="V93" s="6"/>
    </row>
    <row r="94">
      <c r="B94" s="6"/>
      <c r="C94" s="6"/>
      <c r="D94" s="6"/>
      <c r="G94" s="6"/>
      <c r="H94" s="6"/>
      <c r="N94" s="24"/>
      <c r="O94" s="24"/>
      <c r="P94" s="24"/>
      <c r="Q94" s="7"/>
      <c r="V94" s="6"/>
    </row>
    <row r="95">
      <c r="B95" s="6"/>
      <c r="C95" s="6"/>
      <c r="D95" s="6"/>
      <c r="G95" s="6"/>
      <c r="H95" s="6"/>
      <c r="N95" s="24"/>
      <c r="O95" s="24"/>
      <c r="P95" s="24"/>
      <c r="Q95" s="7"/>
      <c r="V95" s="6"/>
    </row>
    <row r="96">
      <c r="B96" s="6"/>
      <c r="C96" s="6"/>
      <c r="D96" s="6"/>
      <c r="G96" s="6"/>
      <c r="H96" s="6"/>
      <c r="N96" s="24"/>
      <c r="O96" s="24"/>
      <c r="P96" s="24"/>
      <c r="Q96" s="7"/>
      <c r="V96" s="6"/>
    </row>
    <row r="97">
      <c r="B97" s="6"/>
      <c r="C97" s="6"/>
      <c r="D97" s="6"/>
      <c r="G97" s="6"/>
      <c r="H97" s="6"/>
      <c r="N97" s="24"/>
      <c r="O97" s="24"/>
      <c r="P97" s="24"/>
      <c r="Q97" s="7"/>
      <c r="V97" s="6"/>
    </row>
    <row r="98">
      <c r="B98" s="6"/>
      <c r="C98" s="6"/>
      <c r="D98" s="6"/>
      <c r="G98" s="6"/>
      <c r="H98" s="6"/>
      <c r="N98" s="24"/>
      <c r="O98" s="24"/>
      <c r="P98" s="24"/>
      <c r="Q98" s="7"/>
      <c r="V98" s="6"/>
    </row>
    <row r="99">
      <c r="B99" s="6"/>
      <c r="C99" s="6"/>
      <c r="D99" s="6"/>
      <c r="G99" s="6"/>
      <c r="H99" s="6"/>
      <c r="N99" s="24"/>
      <c r="O99" s="24"/>
      <c r="P99" s="24"/>
      <c r="Q99" s="7"/>
      <c r="V99" s="6"/>
    </row>
    <row r="100">
      <c r="B100" s="6"/>
      <c r="C100" s="6"/>
      <c r="D100" s="6"/>
      <c r="G100" s="6"/>
      <c r="H100" s="6"/>
      <c r="N100" s="24"/>
      <c r="O100" s="24"/>
      <c r="P100" s="24"/>
      <c r="Q100" s="7"/>
      <c r="V100" s="6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